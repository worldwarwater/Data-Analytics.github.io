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sselcapitain/Documents/Data Analytics Portfolio/"/>
    </mc:Choice>
  </mc:AlternateContent>
  <xr:revisionPtr revIDLastSave="0" documentId="8_{6D9DA4C4-A156-B94F-871D-CA2AFCB70FBF}" xr6:coauthVersionLast="47" xr6:coauthVersionMax="47" xr10:uidLastSave="{00000000-0000-0000-0000-000000000000}"/>
  <bookViews>
    <workbookView xWindow="-8820" yWindow="-28800" windowWidth="21380" windowHeight="28800" activeTab="1" xr2:uid="{6EDF6B07-F718-8F47-8453-878934B4A8B1}"/>
  </bookViews>
  <sheets>
    <sheet name="Sheet3" sheetId="4" r:id="rId1"/>
    <sheet name="electricity-consumption-india-c" sheetId="1" r:id="rId2"/>
  </sheets>
  <definedNames>
    <definedName name="_xlnm._FilterDatabase" localSheetId="1" hidden="1">'electricity-consumption-india-c'!$C$54:$C$54</definedName>
    <definedName name="_xleta.COUNTIF" hidden="1" xlm="1">#NAME?</definedName>
  </definedNames>
  <calcPr calcId="191029"/>
  <pivotCaches>
    <pivotCache cacheId="10" r:id="rId3"/>
    <pivotCache cacheId="26" r:id="rId4"/>
    <pivotCache cacheId="5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" i="1" l="1"/>
  <c r="C56" i="1"/>
  <c r="C54" i="1"/>
</calcChain>
</file>

<file path=xl/sharedStrings.xml><?xml version="1.0" encoding="utf-8"?>
<sst xmlns="http://schemas.openxmlformats.org/spreadsheetml/2006/main" count="230" uniqueCount="77">
  <si>
    <t xml:space="preserve">City </t>
  </si>
  <si>
    <t>Year</t>
  </si>
  <si>
    <t>Consumption of Electricity (in lakh units)-Domestic purpose</t>
  </si>
  <si>
    <t>Consumption of Electricity (in lakh units)-Commercial purpose</t>
  </si>
  <si>
    <t>Consumption of Electricity (in lakh units)-Industry purpose</t>
  </si>
  <si>
    <t>Consumption of Electricity (in lakh units)-Public Water Work &amp; Street Light</t>
  </si>
  <si>
    <t>Consumption of Electricity (in lakh units)-Others</t>
  </si>
  <si>
    <t>Consumption of Electricity (in lakh units)-Total Consumption</t>
  </si>
  <si>
    <t xml:space="preserve">Agartala </t>
  </si>
  <si>
    <t>2018-19</t>
  </si>
  <si>
    <t>Agra</t>
  </si>
  <si>
    <t>2017-18</t>
  </si>
  <si>
    <t>Aizawl</t>
  </si>
  <si>
    <t xml:space="preserve">Amritsar </t>
  </si>
  <si>
    <t>Aurangabad Maharashtra (Total Consumption/Month)</t>
  </si>
  <si>
    <t>Belagavi csd -1</t>
  </si>
  <si>
    <t>Bengaluru</t>
  </si>
  <si>
    <t>Chandigarh (in MU)</t>
  </si>
  <si>
    <t>Gwalior</t>
  </si>
  <si>
    <t>2018-19 (upto Feb)</t>
  </si>
  <si>
    <t>Indore</t>
  </si>
  <si>
    <t>Jabalpur</t>
  </si>
  <si>
    <t>Jaipur-C-I</t>
  </si>
  <si>
    <t>Jaipur-C-II</t>
  </si>
  <si>
    <t>2017-19</t>
  </si>
  <si>
    <t>Jaipur-C-III</t>
  </si>
  <si>
    <t>2017-20</t>
  </si>
  <si>
    <t>Jaipur-C-IV</t>
  </si>
  <si>
    <t>2017-21</t>
  </si>
  <si>
    <t>Jhansi</t>
  </si>
  <si>
    <t>2018-19 (upto Jan)</t>
  </si>
  <si>
    <t>2018-19 (upto Dec)</t>
  </si>
  <si>
    <t>Kohima</t>
  </si>
  <si>
    <t>KOTA</t>
  </si>
  <si>
    <t>Madurai</t>
  </si>
  <si>
    <t>Muzaffarpur</t>
  </si>
  <si>
    <t>NDMC</t>
  </si>
  <si>
    <t>New Town Kolkata</t>
  </si>
  <si>
    <t>Pimpri Chinchwad</t>
  </si>
  <si>
    <t>Raipur city</t>
  </si>
  <si>
    <t>Salem</t>
  </si>
  <si>
    <t>Shillong</t>
  </si>
  <si>
    <t>Shivamogga</t>
  </si>
  <si>
    <t>Solapur Smart City</t>
  </si>
  <si>
    <t>Thanjavur</t>
  </si>
  <si>
    <t>Thoothukudi</t>
  </si>
  <si>
    <t>Tiruchirappalli</t>
  </si>
  <si>
    <t>Tirupati</t>
  </si>
  <si>
    <t>Udaipur</t>
  </si>
  <si>
    <t>Vadodara</t>
  </si>
  <si>
    <t>2016-17</t>
  </si>
  <si>
    <t>Warangal</t>
  </si>
  <si>
    <t>Chen0i</t>
  </si>
  <si>
    <t>Dava0gere</t>
  </si>
  <si>
    <t xml:space="preserve">Kaki0da </t>
  </si>
  <si>
    <t>Kanpur 0gar</t>
  </si>
  <si>
    <t>Karim0gar</t>
  </si>
  <si>
    <t>0gpur</t>
  </si>
  <si>
    <t>Sat0</t>
  </si>
  <si>
    <t>sri0gar</t>
  </si>
  <si>
    <t>Vara0si</t>
  </si>
  <si>
    <t>Visakhapat0m</t>
  </si>
  <si>
    <t>Number of cell with 0</t>
  </si>
  <si>
    <t>Vlookup Function to ID electricity consumption for Indore</t>
  </si>
  <si>
    <t>Total Electricity Consumption</t>
  </si>
  <si>
    <t>Sum of Consumption of Electricity (in lakh units)-Domestic purpose</t>
  </si>
  <si>
    <t>Sum of Consumption of Electricity (in lakh units)-Commercial purpose</t>
  </si>
  <si>
    <t>Sum of Consumption of Electricity (in lakh units)-Industry purpose</t>
  </si>
  <si>
    <t>Row Labels</t>
  </si>
  <si>
    <t>(blank)</t>
  </si>
  <si>
    <t>Grand Total</t>
  </si>
  <si>
    <t>Sum of Consumption of Electricity (in lakh units)-Total Consumption</t>
  </si>
  <si>
    <t>Years</t>
  </si>
  <si>
    <t>City</t>
  </si>
  <si>
    <t>(All)</t>
  </si>
  <si>
    <t>Sum of Consumption of Electricity (in lakh units)-Public Water Work &amp; Street Light</t>
  </si>
  <si>
    <t>Sum of Consumption of Electricity (in lakh units)-Others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</si>
</sst>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3.xml"/><Relationship Id="rId4" Type="http://schemas.openxmlformats.org/officeDocument/2006/relationships/pivotCacheDefinition" Target="pivotCache/pivotCacheDefinition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Analysis.xlsm]Sheet3!Difference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Difference in Electricity</a:t>
            </a:r>
            <a:r>
              <a:rPr lang="en-US" baseline="0"/>
              <a:t>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Sheet3!$I$3</c:f>
              <c:strCache>
                <c:ptCount val="1"/>
                <c:pt idx="0">
                  <c:v>Sum of Consumption of Electricity (in lakh units)-Domestic purpose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Sheet3!$H$4:$H$8</c:f>
              <c:multiLvlStrCache>
                <c:ptCount val="2"/>
                <c:lvl>
                  <c:pt idx="0">
                    <c:v>Vara0si</c:v>
                  </c:pt>
                  <c:pt idx="1">
                    <c:v>Vara0si</c:v>
                  </c:pt>
                </c:lvl>
                <c:lvl>
                  <c:pt idx="0">
                    <c:v>2016-17</c:v>
                  </c:pt>
                  <c:pt idx="1">
                    <c:v>2017-18</c:v>
                  </c:pt>
                </c:lvl>
              </c:multiLvlStrCache>
            </c:multiLvlStrRef>
          </c:cat>
          <c:val>
            <c:numRef>
              <c:f>Sheet3!$I$4:$I$8</c:f>
              <c:numCache>
                <c:formatCode>General</c:formatCode>
                <c:ptCount val="2"/>
                <c:pt idx="0">
                  <c:v>344276</c:v>
                </c:pt>
                <c:pt idx="1">
                  <c:v>227753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5-5C40-879E-F1B07F4958C4}"/>
            </c:ext>
          </c:extLst>
        </c:ser>
        <c:ser>
          <c:idx val="1"/>
          <c:order val="1"/>
          <c:tx>
            <c:strRef>
              <c:f>Sheet3!$J$3</c:f>
              <c:strCache>
                <c:ptCount val="1"/>
                <c:pt idx="0">
                  <c:v>Sum of Consumption of Electricity (in lakh units)-Commercial purpose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Sheet3!$H$4:$H$8</c:f>
              <c:multiLvlStrCache>
                <c:ptCount val="2"/>
                <c:lvl>
                  <c:pt idx="0">
                    <c:v>Vara0si</c:v>
                  </c:pt>
                  <c:pt idx="1">
                    <c:v>Vara0si</c:v>
                  </c:pt>
                </c:lvl>
                <c:lvl>
                  <c:pt idx="0">
                    <c:v>2016-17</c:v>
                  </c:pt>
                  <c:pt idx="1">
                    <c:v>2017-18</c:v>
                  </c:pt>
                </c:lvl>
              </c:multiLvlStrCache>
            </c:multiLvlStrRef>
          </c:cat>
          <c:val>
            <c:numRef>
              <c:f>Sheet3!$J$4:$J$8</c:f>
              <c:numCache>
                <c:formatCode>General</c:formatCode>
                <c:ptCount val="2"/>
                <c:pt idx="0">
                  <c:v>117285</c:v>
                </c:pt>
                <c:pt idx="1">
                  <c:v>85207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5-5C40-879E-F1B07F4958C4}"/>
            </c:ext>
          </c:extLst>
        </c:ser>
        <c:ser>
          <c:idx val="2"/>
          <c:order val="2"/>
          <c:tx>
            <c:strRef>
              <c:f>Sheet3!$K$3</c:f>
              <c:strCache>
                <c:ptCount val="1"/>
                <c:pt idx="0">
                  <c:v>Sum of Consumption of Electricity (in lakh units)-Industry purpose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Sheet3!$H$4:$H$8</c:f>
              <c:multiLvlStrCache>
                <c:ptCount val="2"/>
                <c:lvl>
                  <c:pt idx="0">
                    <c:v>Vara0si</c:v>
                  </c:pt>
                  <c:pt idx="1">
                    <c:v>Vara0si</c:v>
                  </c:pt>
                </c:lvl>
                <c:lvl>
                  <c:pt idx="0">
                    <c:v>2016-17</c:v>
                  </c:pt>
                  <c:pt idx="1">
                    <c:v>2017-18</c:v>
                  </c:pt>
                </c:lvl>
              </c:multiLvlStrCache>
            </c:multiLvlStrRef>
          </c:cat>
          <c:val>
            <c:numRef>
              <c:f>Sheet3!$K$4:$K$8</c:f>
              <c:numCache>
                <c:formatCode>General</c:formatCode>
                <c:ptCount val="2"/>
                <c:pt idx="0">
                  <c:v>88547</c:v>
                </c:pt>
                <c:pt idx="1">
                  <c:v>43360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5-5C40-879E-F1B07F4958C4}"/>
            </c:ext>
          </c:extLst>
        </c:ser>
        <c:ser>
          <c:idx val="3"/>
          <c:order val="3"/>
          <c:tx>
            <c:strRef>
              <c:f>Sheet3!$L$3</c:f>
              <c:strCache>
                <c:ptCount val="1"/>
                <c:pt idx="0">
                  <c:v>Sum of Consumption of Electricity (in lakh units)-Public Water Work &amp; Street Light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Sheet3!$H$4:$H$8</c:f>
              <c:multiLvlStrCache>
                <c:ptCount val="2"/>
                <c:lvl>
                  <c:pt idx="0">
                    <c:v>Vara0si</c:v>
                  </c:pt>
                  <c:pt idx="1">
                    <c:v>Vara0si</c:v>
                  </c:pt>
                </c:lvl>
                <c:lvl>
                  <c:pt idx="0">
                    <c:v>2016-17</c:v>
                  </c:pt>
                  <c:pt idx="1">
                    <c:v>2017-18</c:v>
                  </c:pt>
                </c:lvl>
              </c:multiLvlStrCache>
            </c:multiLvlStrRef>
          </c:cat>
          <c:val>
            <c:numRef>
              <c:f>Sheet3!$L$4:$L$8</c:f>
              <c:numCache>
                <c:formatCode>General</c:formatCode>
                <c:ptCount val="2"/>
                <c:pt idx="0">
                  <c:v>26340</c:v>
                </c:pt>
                <c:pt idx="1">
                  <c:v>68069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05-5C40-879E-F1B07F4958C4}"/>
            </c:ext>
          </c:extLst>
        </c:ser>
        <c:ser>
          <c:idx val="4"/>
          <c:order val="4"/>
          <c:tx>
            <c:strRef>
              <c:f>Sheet3!$M$3</c:f>
              <c:strCache>
                <c:ptCount val="1"/>
                <c:pt idx="0">
                  <c:v>Sum of Consumption of Electricity (in lakh units)-Others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Sheet3!$H$4:$H$8</c:f>
              <c:multiLvlStrCache>
                <c:ptCount val="2"/>
                <c:lvl>
                  <c:pt idx="0">
                    <c:v>Vara0si</c:v>
                  </c:pt>
                  <c:pt idx="1">
                    <c:v>Vara0si</c:v>
                  </c:pt>
                </c:lvl>
                <c:lvl>
                  <c:pt idx="0">
                    <c:v>2016-17</c:v>
                  </c:pt>
                  <c:pt idx="1">
                    <c:v>2017-18</c:v>
                  </c:pt>
                </c:lvl>
              </c:multiLvlStrCache>
            </c:multiLvlStrRef>
          </c:cat>
          <c:val>
            <c:numRef>
              <c:f>Sheet3!$M$4:$M$8</c:f>
              <c:numCache>
                <c:formatCode>General</c:formatCode>
                <c:ptCount val="2"/>
                <c:pt idx="0">
                  <c:v>6965</c:v>
                </c:pt>
                <c:pt idx="1">
                  <c:v>9357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05-5C40-879E-F1B07F4958C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32093648"/>
        <c:axId val="1532052528"/>
      </c:barChart>
      <c:catAx>
        <c:axId val="153209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052528"/>
        <c:crosses val="autoZero"/>
        <c:auto val="1"/>
        <c:lblAlgn val="ctr"/>
        <c:lblOffset val="100"/>
        <c:noMultiLvlLbl val="0"/>
      </c:catAx>
      <c:valAx>
        <c:axId val="153205252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3209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Analysis.xlsm]Sheet3!PivotTable5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Yearly</a:t>
            </a:r>
            <a:r>
              <a:rPr lang="en-US" baseline="0"/>
              <a:t> Total Elcectricity Consumption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Sheet3!$E$4:$E$14</c:f>
              <c:strCache>
                <c:ptCount val="10"/>
                <c:pt idx="0">
                  <c:v>2016-17</c:v>
                </c:pt>
                <c:pt idx="1">
                  <c:v>2017-18</c:v>
                </c:pt>
                <c:pt idx="2">
                  <c:v>2017-19</c:v>
                </c:pt>
                <c:pt idx="3">
                  <c:v>2017-20</c:v>
                </c:pt>
                <c:pt idx="4">
                  <c:v>2017-21</c:v>
                </c:pt>
                <c:pt idx="5">
                  <c:v>2018-19</c:v>
                </c:pt>
                <c:pt idx="6">
                  <c:v>2018-19 (upto Dec)</c:v>
                </c:pt>
                <c:pt idx="7">
                  <c:v>2018-19 (upto Feb)</c:v>
                </c:pt>
                <c:pt idx="8">
                  <c:v>2018-19 (upto Jan)</c:v>
                </c:pt>
                <c:pt idx="9">
                  <c:v>(blank)</c:v>
                </c:pt>
              </c:strCache>
            </c:strRef>
          </c:cat>
          <c:val>
            <c:numRef>
              <c:f>Sheet3!$F$4:$F$14</c:f>
              <c:numCache>
                <c:formatCode>General</c:formatCode>
                <c:ptCount val="10"/>
                <c:pt idx="0">
                  <c:v>574293</c:v>
                </c:pt>
                <c:pt idx="1">
                  <c:v>598863.13011999999</c:v>
                </c:pt>
                <c:pt idx="2">
                  <c:v>569.75199999999995</c:v>
                </c:pt>
                <c:pt idx="3">
                  <c:v>778.79899999999998</c:v>
                </c:pt>
                <c:pt idx="4">
                  <c:v>1118.47</c:v>
                </c:pt>
                <c:pt idx="5">
                  <c:v>199212.30941400005</c:v>
                </c:pt>
                <c:pt idx="6">
                  <c:v>24563.5</c:v>
                </c:pt>
                <c:pt idx="7">
                  <c:v>27133.37</c:v>
                </c:pt>
                <c:pt idx="8">
                  <c:v>5182.5860000000002</c:v>
                </c:pt>
                <c:pt idx="9">
                  <c:v>2825.5513700000001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D-4B4B-845B-8BDE9C031B9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48990032"/>
        <c:axId val="1548991744"/>
      </c:barChart>
      <c:catAx>
        <c:axId val="154899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91744"/>
        <c:crosses val="autoZero"/>
        <c:auto val="1"/>
        <c:lblAlgn val="ctr"/>
        <c:lblOffset val="100"/>
        <c:noMultiLvlLbl val="0"/>
      </c:catAx>
      <c:valAx>
        <c:axId val="15489917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4899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Analysis.xlsm]Sheet3!PivotTable3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Elcectricity</a:t>
            </a:r>
            <a:r>
              <a:rPr lang="en-US" baseline="0"/>
              <a:t> Consumption for Industrial Purpose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Sheet3!$A$4:$A$53</c:f>
              <c:strCache>
                <c:ptCount val="49"/>
                <c:pt idx="0">
                  <c:v>0gpur</c:v>
                </c:pt>
                <c:pt idx="1">
                  <c:v>Agartala </c:v>
                </c:pt>
                <c:pt idx="2">
                  <c:v>Agra</c:v>
                </c:pt>
                <c:pt idx="3">
                  <c:v>Aizawl</c:v>
                </c:pt>
                <c:pt idx="4">
                  <c:v>Amritsar </c:v>
                </c:pt>
                <c:pt idx="5">
                  <c:v>Aurangabad Maharashtra (Total Consumption/Month)</c:v>
                </c:pt>
                <c:pt idx="6">
                  <c:v>Belagavi csd -1</c:v>
                </c:pt>
                <c:pt idx="7">
                  <c:v>Bengaluru</c:v>
                </c:pt>
                <c:pt idx="8">
                  <c:v>Chandigarh (in MU)</c:v>
                </c:pt>
                <c:pt idx="9">
                  <c:v>Chen0i</c:v>
                </c:pt>
                <c:pt idx="10">
                  <c:v>Dava0gere</c:v>
                </c:pt>
                <c:pt idx="11">
                  <c:v>Gwalior</c:v>
                </c:pt>
                <c:pt idx="12">
                  <c:v>Indore</c:v>
                </c:pt>
                <c:pt idx="13">
                  <c:v>Jabalpur</c:v>
                </c:pt>
                <c:pt idx="14">
                  <c:v>Jaipur-C-I</c:v>
                </c:pt>
                <c:pt idx="15">
                  <c:v>Jaipur-C-II</c:v>
                </c:pt>
                <c:pt idx="16">
                  <c:v>Jaipur-C-III</c:v>
                </c:pt>
                <c:pt idx="17">
                  <c:v>Jaipur-C-IV</c:v>
                </c:pt>
                <c:pt idx="18">
                  <c:v>Jhansi</c:v>
                </c:pt>
                <c:pt idx="19">
                  <c:v>Kaki0da </c:v>
                </c:pt>
                <c:pt idx="20">
                  <c:v>Kanpur 0gar</c:v>
                </c:pt>
                <c:pt idx="21">
                  <c:v>Karim0gar</c:v>
                </c:pt>
                <c:pt idx="22">
                  <c:v>Kohima</c:v>
                </c:pt>
                <c:pt idx="23">
                  <c:v>KOTA</c:v>
                </c:pt>
                <c:pt idx="24">
                  <c:v>Madurai</c:v>
                </c:pt>
                <c:pt idx="25">
                  <c:v>Muzaffarpur</c:v>
                </c:pt>
                <c:pt idx="26">
                  <c:v>NDMC</c:v>
                </c:pt>
                <c:pt idx="27">
                  <c:v>New Town Kolkata</c:v>
                </c:pt>
                <c:pt idx="28">
                  <c:v>Number of cell with 0</c:v>
                </c:pt>
                <c:pt idx="29">
                  <c:v>Pimpri Chinchwad</c:v>
                </c:pt>
                <c:pt idx="30">
                  <c:v>Raipur city</c:v>
                </c:pt>
                <c:pt idx="31">
                  <c:v>Salem</c:v>
                </c:pt>
                <c:pt idx="32">
                  <c:v>Sat0</c:v>
                </c:pt>
                <c:pt idx="33">
                  <c:v>Shillong</c:v>
                </c:pt>
                <c:pt idx="34">
                  <c:v>Shivamogga</c:v>
                </c:pt>
                <c:pt idx="35">
                  <c:v>Solapur Smart City</c:v>
                </c:pt>
                <c:pt idx="36">
                  <c:v>sri0gar</c:v>
                </c:pt>
                <c:pt idx="37">
                  <c:v>Thanjavur</c:v>
                </c:pt>
                <c:pt idx="38">
                  <c:v>Thoothukudi</c:v>
                </c:pt>
                <c:pt idx="39">
                  <c:v>Tiruchirappalli</c:v>
                </c:pt>
                <c:pt idx="40">
                  <c:v>Tirupati</c:v>
                </c:pt>
                <c:pt idx="41">
                  <c:v>Total Electricity Consumption</c:v>
                </c:pt>
                <c:pt idx="42">
                  <c:v>Udaipur</c:v>
                </c:pt>
                <c:pt idx="43">
                  <c:v>Vadodara</c:v>
                </c:pt>
                <c:pt idx="44">
                  <c:v>Vara0si</c:v>
                </c:pt>
                <c:pt idx="45">
                  <c:v>Visakhapat0m</c:v>
                </c:pt>
                <c:pt idx="46">
                  <c:v>Vlookup Function to ID electricity consumption for Indore</c:v>
                </c:pt>
                <c:pt idx="47">
                  <c:v>Warangal</c:v>
                </c:pt>
                <c:pt idx="48">
                  <c:v>(blank)</c:v>
                </c:pt>
              </c:strCache>
            </c:strRef>
          </c:cat>
          <c:val>
            <c:numRef>
              <c:f>Sheet3!$B$4:$B$53</c:f>
              <c:numCache>
                <c:formatCode>General</c:formatCode>
                <c:ptCount val="49"/>
                <c:pt idx="0">
                  <c:v>11603.17</c:v>
                </c:pt>
                <c:pt idx="1">
                  <c:v>5.94</c:v>
                </c:pt>
                <c:pt idx="2">
                  <c:v>2870</c:v>
                </c:pt>
                <c:pt idx="3">
                  <c:v>133.41</c:v>
                </c:pt>
                <c:pt idx="4">
                  <c:v>1479.03</c:v>
                </c:pt>
                <c:pt idx="5">
                  <c:v>121.08</c:v>
                </c:pt>
                <c:pt idx="6">
                  <c:v>1.5</c:v>
                </c:pt>
                <c:pt idx="7">
                  <c:v>27116.79479</c:v>
                </c:pt>
                <c:pt idx="8">
                  <c:v>258.68</c:v>
                </c:pt>
                <c:pt idx="9">
                  <c:v>26515</c:v>
                </c:pt>
                <c:pt idx="10">
                  <c:v>191.52</c:v>
                </c:pt>
                <c:pt idx="11">
                  <c:v>1668</c:v>
                </c:pt>
                <c:pt idx="12">
                  <c:v>2062.9</c:v>
                </c:pt>
                <c:pt idx="13">
                  <c:v>92.89</c:v>
                </c:pt>
                <c:pt idx="14">
                  <c:v>10.56</c:v>
                </c:pt>
                <c:pt idx="15">
                  <c:v>22.98</c:v>
                </c:pt>
                <c:pt idx="16">
                  <c:v>7.32</c:v>
                </c:pt>
                <c:pt idx="17">
                  <c:v>13.69</c:v>
                </c:pt>
                <c:pt idx="18">
                  <c:v>80.099999999999994</c:v>
                </c:pt>
                <c:pt idx="19">
                  <c:v>474</c:v>
                </c:pt>
                <c:pt idx="20">
                  <c:v>5745</c:v>
                </c:pt>
                <c:pt idx="21">
                  <c:v>4.38</c:v>
                </c:pt>
                <c:pt idx="22">
                  <c:v>1.129</c:v>
                </c:pt>
                <c:pt idx="23">
                  <c:v>2263.9279799999999</c:v>
                </c:pt>
                <c:pt idx="24">
                  <c:v>16.561440000000001</c:v>
                </c:pt>
                <c:pt idx="25">
                  <c:v>7.45</c:v>
                </c:pt>
                <c:pt idx="26">
                  <c:v>0.22</c:v>
                </c:pt>
                <c:pt idx="27">
                  <c:v>0.25</c:v>
                </c:pt>
                <c:pt idx="29">
                  <c:v>0</c:v>
                </c:pt>
                <c:pt idx="30">
                  <c:v>258.93</c:v>
                </c:pt>
                <c:pt idx="31">
                  <c:v>176</c:v>
                </c:pt>
                <c:pt idx="32">
                  <c:v>36.18</c:v>
                </c:pt>
                <c:pt idx="33">
                  <c:v>33.1</c:v>
                </c:pt>
                <c:pt idx="34">
                  <c:v>1324.06</c:v>
                </c:pt>
                <c:pt idx="35">
                  <c:v>2534.91887</c:v>
                </c:pt>
                <c:pt idx="36">
                  <c:v>150</c:v>
                </c:pt>
                <c:pt idx="37">
                  <c:v>17.100000000000001</c:v>
                </c:pt>
                <c:pt idx="38">
                  <c:v>664.02</c:v>
                </c:pt>
                <c:pt idx="39">
                  <c:v>1.25</c:v>
                </c:pt>
                <c:pt idx="40">
                  <c:v>3.54</c:v>
                </c:pt>
                <c:pt idx="42">
                  <c:v>2162.11</c:v>
                </c:pt>
                <c:pt idx="43">
                  <c:v>1417.8</c:v>
                </c:pt>
                <c:pt idx="44">
                  <c:v>131907</c:v>
                </c:pt>
                <c:pt idx="45">
                  <c:v>203.273</c:v>
                </c:pt>
                <c:pt idx="47">
                  <c:v>71.34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0-4244-AE80-5F4A968D9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929152"/>
        <c:axId val="1549032768"/>
      </c:lineChart>
      <c:catAx>
        <c:axId val="154892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9032768"/>
        <c:crosses val="autoZero"/>
        <c:auto val="1"/>
        <c:lblAlgn val="ctr"/>
        <c:lblOffset val="100"/>
        <c:noMultiLvlLbl val="0"/>
      </c:catAx>
      <c:valAx>
        <c:axId val="15490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2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Analysis.xlsm]Sheet3!PivotTable9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Sheet3!$G$60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cat>
            <c:strRef>
              <c:f>Sheet3!$F$61:$F$106</c:f>
              <c:strCache>
                <c:ptCount val="45"/>
                <c:pt idx="0">
                  <c:v>0gpur</c:v>
                </c:pt>
                <c:pt idx="1">
                  <c:v>Agartala </c:v>
                </c:pt>
                <c:pt idx="2">
                  <c:v>Agra</c:v>
                </c:pt>
                <c:pt idx="3">
                  <c:v>Aizawl</c:v>
                </c:pt>
                <c:pt idx="4">
                  <c:v>Amritsar </c:v>
                </c:pt>
                <c:pt idx="5">
                  <c:v>Aurangabad Maharashtra (Total Consumption/Month)</c:v>
                </c:pt>
                <c:pt idx="6">
                  <c:v>Belagavi csd -1</c:v>
                </c:pt>
                <c:pt idx="7">
                  <c:v>Bengaluru</c:v>
                </c:pt>
                <c:pt idx="8">
                  <c:v>Chandigarh (in MU)</c:v>
                </c:pt>
                <c:pt idx="9">
                  <c:v>Chen0i</c:v>
                </c:pt>
                <c:pt idx="10">
                  <c:v>Dava0gere</c:v>
                </c:pt>
                <c:pt idx="11">
                  <c:v>Gwalior</c:v>
                </c:pt>
                <c:pt idx="12">
                  <c:v>Indore</c:v>
                </c:pt>
                <c:pt idx="13">
                  <c:v>Jabalpur</c:v>
                </c:pt>
                <c:pt idx="14">
                  <c:v>Jaipur-C-I</c:v>
                </c:pt>
                <c:pt idx="15">
                  <c:v>Jaipur-C-II</c:v>
                </c:pt>
                <c:pt idx="16">
                  <c:v>Jaipur-C-III</c:v>
                </c:pt>
                <c:pt idx="17">
                  <c:v>Jaipur-C-IV</c:v>
                </c:pt>
                <c:pt idx="18">
                  <c:v>Jhansi</c:v>
                </c:pt>
                <c:pt idx="19">
                  <c:v>Kaki0da </c:v>
                </c:pt>
                <c:pt idx="20">
                  <c:v>Kanpur 0gar</c:v>
                </c:pt>
                <c:pt idx="21">
                  <c:v>Karim0gar</c:v>
                </c:pt>
                <c:pt idx="22">
                  <c:v>Kohima</c:v>
                </c:pt>
                <c:pt idx="23">
                  <c:v>KOTA</c:v>
                </c:pt>
                <c:pt idx="24">
                  <c:v>Madurai</c:v>
                </c:pt>
                <c:pt idx="25">
                  <c:v>Muzaffarpur</c:v>
                </c:pt>
                <c:pt idx="26">
                  <c:v>NDMC</c:v>
                </c:pt>
                <c:pt idx="27">
                  <c:v>New Town Kolkata</c:v>
                </c:pt>
                <c:pt idx="28">
                  <c:v>Pimpri Chinchwad</c:v>
                </c:pt>
                <c:pt idx="29">
                  <c:v>Raipur city</c:v>
                </c:pt>
                <c:pt idx="30">
                  <c:v>Salem</c:v>
                </c:pt>
                <c:pt idx="31">
                  <c:v>Sat0</c:v>
                </c:pt>
                <c:pt idx="32">
                  <c:v>Shillong</c:v>
                </c:pt>
                <c:pt idx="33">
                  <c:v>Shivamogga</c:v>
                </c:pt>
                <c:pt idx="34">
                  <c:v>Solapur Smart City</c:v>
                </c:pt>
                <c:pt idx="35">
                  <c:v>sri0gar</c:v>
                </c:pt>
                <c:pt idx="36">
                  <c:v>Thanjavur</c:v>
                </c:pt>
                <c:pt idx="37">
                  <c:v>Thoothukudi</c:v>
                </c:pt>
                <c:pt idx="38">
                  <c:v>Tiruchirappalli</c:v>
                </c:pt>
                <c:pt idx="39">
                  <c:v>Tirupati</c:v>
                </c:pt>
                <c:pt idx="40">
                  <c:v>Udaipur</c:v>
                </c:pt>
                <c:pt idx="41">
                  <c:v>Vadodara</c:v>
                </c:pt>
                <c:pt idx="42">
                  <c:v>Vara0si</c:v>
                </c:pt>
                <c:pt idx="43">
                  <c:v>Visakhapat0m</c:v>
                </c:pt>
                <c:pt idx="44">
                  <c:v>Warangal</c:v>
                </c:pt>
              </c:strCache>
            </c:strRef>
          </c:cat>
          <c:val>
            <c:numRef>
              <c:f>Sheet3!$G$61:$G$106</c:f>
              <c:numCache>
                <c:formatCode>General</c:formatCode>
                <c:ptCount val="45"/>
                <c:pt idx="0">
                  <c:v>2351.23</c:v>
                </c:pt>
                <c:pt idx="1">
                  <c:v>13.13</c:v>
                </c:pt>
                <c:pt idx="2">
                  <c:v>583</c:v>
                </c:pt>
                <c:pt idx="3">
                  <c:v>437.78</c:v>
                </c:pt>
                <c:pt idx="4">
                  <c:v>206</c:v>
                </c:pt>
                <c:pt idx="5">
                  <c:v>18.38</c:v>
                </c:pt>
                <c:pt idx="6">
                  <c:v>3.7</c:v>
                </c:pt>
                <c:pt idx="7">
                  <c:v>7425.8612940000003</c:v>
                </c:pt>
                <c:pt idx="8">
                  <c:v>17.73</c:v>
                </c:pt>
                <c:pt idx="9">
                  <c:v>1893</c:v>
                </c:pt>
                <c:pt idx="10">
                  <c:v>87.82</c:v>
                </c:pt>
                <c:pt idx="11">
                  <c:v>837</c:v>
                </c:pt>
                <c:pt idx="12">
                  <c:v>605.03</c:v>
                </c:pt>
                <c:pt idx="13">
                  <c:v>63.43</c:v>
                </c:pt>
                <c:pt idx="14">
                  <c:v>4.47</c:v>
                </c:pt>
                <c:pt idx="15">
                  <c:v>13.71</c:v>
                </c:pt>
                <c:pt idx="16">
                  <c:v>8.9120000000000008</c:v>
                </c:pt>
                <c:pt idx="17">
                  <c:v>7.96</c:v>
                </c:pt>
                <c:pt idx="18">
                  <c:v>61.91</c:v>
                </c:pt>
                <c:pt idx="19">
                  <c:v>32.299999999999997</c:v>
                </c:pt>
                <c:pt idx="20">
                  <c:v>978.4</c:v>
                </c:pt>
                <c:pt idx="21">
                  <c:v>2.79</c:v>
                </c:pt>
                <c:pt idx="22">
                  <c:v>0.34200000000000003</c:v>
                </c:pt>
                <c:pt idx="23">
                  <c:v>168.59413000000001</c:v>
                </c:pt>
                <c:pt idx="24">
                  <c:v>6.5158699999999996</c:v>
                </c:pt>
                <c:pt idx="25">
                  <c:v>0</c:v>
                </c:pt>
                <c:pt idx="26">
                  <c:v>51.2</c:v>
                </c:pt>
                <c:pt idx="27">
                  <c:v>215.13</c:v>
                </c:pt>
                <c:pt idx="28">
                  <c:v>389.59</c:v>
                </c:pt>
                <c:pt idx="29">
                  <c:v>51.58</c:v>
                </c:pt>
                <c:pt idx="30">
                  <c:v>34</c:v>
                </c:pt>
                <c:pt idx="31">
                  <c:v>99.43</c:v>
                </c:pt>
                <c:pt idx="32">
                  <c:v>244.5</c:v>
                </c:pt>
                <c:pt idx="33">
                  <c:v>201.79</c:v>
                </c:pt>
                <c:pt idx="34">
                  <c:v>2111.4825799999999</c:v>
                </c:pt>
                <c:pt idx="35">
                  <c:v>9</c:v>
                </c:pt>
                <c:pt idx="36">
                  <c:v>22.45</c:v>
                </c:pt>
                <c:pt idx="37">
                  <c:v>271.33999999999997</c:v>
                </c:pt>
                <c:pt idx="38">
                  <c:v>0.59</c:v>
                </c:pt>
                <c:pt idx="39">
                  <c:v>7.2</c:v>
                </c:pt>
                <c:pt idx="40">
                  <c:v>252.47</c:v>
                </c:pt>
                <c:pt idx="41">
                  <c:v>232.21</c:v>
                </c:pt>
                <c:pt idx="42">
                  <c:v>94409</c:v>
                </c:pt>
                <c:pt idx="43">
                  <c:v>2.4710000000000001</c:v>
                </c:pt>
                <c:pt idx="44">
                  <c:v>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F-CD41-8261-0AD96883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3187700</xdr:colOff>
      <xdr:row>12</xdr:row>
      <xdr:rowOff>25400</xdr:rowOff>
    </xdr:from>
    <xdr:to>
      <xdr:col>10</xdr:col>
      <xdr:colOff>2349500</xdr:colOff>
      <xdr:row>30</xdr:row>
      <xdr:rowOff>63500</xdr:rowOff>
    </xdr:to>
    <xdr:graphicFrame macro="">
      <xdr:nvGraphicFramePr>
        <xdr:cNvPr id="2" name="Differnce ">
          <a:extLst>
            <a:ext uri="{FF2B5EF4-FFF2-40B4-BE49-F238E27FC236}">
              <a16:creationId xmlns:a16="http://schemas.microsoft.com/office/drawing/2014/main" id="{F3487429-C40D-1AD6-A8B0-4E706C1BF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292100</xdr:colOff>
      <xdr:row>23</xdr:row>
      <xdr:rowOff>171450</xdr:rowOff>
    </xdr:from>
    <xdr:to>
      <xdr:col>5</xdr:col>
      <xdr:colOff>4152900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E9D61B-6FF0-26D4-C283-B95FBF3E21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19050</xdr:rowOff>
    </xdr:from>
    <xdr:to>
      <xdr:col>4</xdr:col>
      <xdr:colOff>838200</xdr:colOff>
      <xdr:row>82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37C4986-AABF-8034-E502-756A55B7D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1593850</xdr:colOff>
      <xdr:row>108</xdr:row>
      <xdr:rowOff>69850</xdr:rowOff>
    </xdr:from>
    <xdr:to>
      <xdr:col>6</xdr:col>
      <xdr:colOff>2736850</xdr:colOff>
      <xdr:row>121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BE28669-BDDD-A8F1-3ADA-FF535DE2E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en drani" refreshedDate="45712.721922222219" createdVersion="8" refreshedVersion="8" minRefreshableVersion="3" recordCount="58" xr:uid="{F3D01AF8-26CE-2D41-92F5-94F137646ADF}">
  <cacheSource type="worksheet">
    <worksheetSource ref="A1:H1048576" sheet="electricity-consumption-india-c"/>
  </cacheSource>
  <cacheFields count="8">
    <cacheField name="City " numFmtId="0">
      <sharedItems containsBlank="1" count="49">
        <s v="Agartala "/>
        <s v="Agra"/>
        <s v="Aizawl"/>
        <s v="Amritsar "/>
        <s v="Aurangabad Maharashtra (Total Consumption/Month)"/>
        <s v="Belagavi csd -1"/>
        <s v="Bengaluru"/>
        <s v="Chandigarh (in MU)"/>
        <s v="Chen0i"/>
        <s v="Dava0gere"/>
        <s v="Gwalior"/>
        <s v="Indore"/>
        <s v="Jabalpur"/>
        <s v="Jaipur-C-I"/>
        <s v="Jaipur-C-II"/>
        <s v="Jaipur-C-III"/>
        <s v="Jaipur-C-IV"/>
        <s v="Jhansi"/>
        <s v="Kaki0da "/>
        <s v="Kanpur 0gar"/>
        <s v="Karim0gar"/>
        <s v="Kohima"/>
        <s v="KOTA"/>
        <s v="Madurai"/>
        <s v="Muzaffarpur"/>
        <s v="0gpur"/>
        <s v="NDMC"/>
        <s v="New Town Kolkata"/>
        <s v="Pimpri Chinchwad"/>
        <s v="Raipur city"/>
        <s v="Salem"/>
        <s v="Sat0"/>
        <s v="Shillong"/>
        <s v="Shivamogga"/>
        <s v="Solapur Smart City"/>
        <s v="sri0gar"/>
        <s v="Thanjavur"/>
        <s v="Thoothukudi"/>
        <s v="Tiruchirappalli"/>
        <s v="Tirupati"/>
        <s v="Udaipur"/>
        <s v="Vadodara"/>
        <s v="Vara0si"/>
        <s v="Visakhapat0m"/>
        <s v="Warangal"/>
        <m/>
        <s v="Number of cell with 0"/>
        <s v="Vlookup Function to ID electricity consumption for Indore"/>
        <s v="Total Electricity Consumption"/>
      </sharedItems>
    </cacheField>
    <cacheField name="Year" numFmtId="0">
      <sharedItems containsBlank="1"/>
    </cacheField>
    <cacheField name="Consumption of Electricity (in lakh units)-Domestic purpose" numFmtId="0">
      <sharedItems containsString="0" containsBlank="1" containsNumber="1" minValue="0" maxValue="1434540.4679039998"/>
    </cacheField>
    <cacheField name="Consumption of Electricity (in lakh units)-Commercial purpose" numFmtId="0">
      <sharedItems containsString="0" containsBlank="1" containsNumber="1" minValue="0" maxValue="117285"/>
    </cacheField>
    <cacheField name="Consumption of Electricity (in lakh units)-Industry purpose" numFmtId="0">
      <sharedItems containsString="0" containsBlank="1" containsNumber="1" minValue="0" maxValue="88547"/>
    </cacheField>
    <cacheField name="Consumption of Electricity (in lakh units)-Public Water Work &amp; Street Light" numFmtId="0">
      <sharedItems containsString="0" containsBlank="1" containsNumber="1" minValue="0" maxValue="68069"/>
    </cacheField>
    <cacheField name="Consumption of Electricity (in lakh units)-Others" numFmtId="0">
      <sharedItems containsString="0" containsBlank="1" containsNumber="1" minValue="0" maxValue="9357"/>
    </cacheField>
    <cacheField name="Consumption of Electricity (in lakh units)-Total Consumption" numFmtId="0">
      <sharedItems containsString="0" containsBlank="1" containsNumber="1" minValue="23.37" maxValue="5742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en drani" refreshedDate="45712.728729745373" createdVersion="8" refreshedVersion="8" minRefreshableVersion="3" recordCount="47" xr:uid="{669E834C-19F8-254D-9497-697D135B3519}">
  <cacheSource type="worksheet">
    <worksheetSource ref="A1:G48" sheet="electricity-consumption-india-c"/>
  </cacheSource>
  <cacheFields count="7">
    <cacheField name="City " numFmtId="0">
      <sharedItems count="45">
        <s v="Agartala "/>
        <s v="Agra"/>
        <s v="Aizawl"/>
        <s v="Amritsar "/>
        <s v="Aurangabad Maharashtra (Total Consumption/Month)"/>
        <s v="Belagavi csd -1"/>
        <s v="Bengaluru"/>
        <s v="Chandigarh (in MU)"/>
        <s v="Chen0i"/>
        <s v="Dava0gere"/>
        <s v="Gwalior"/>
        <s v="Indore"/>
        <s v="Jabalpur"/>
        <s v="Jaipur-C-I"/>
        <s v="Jaipur-C-II"/>
        <s v="Jaipur-C-III"/>
        <s v="Jaipur-C-IV"/>
        <s v="Jhansi"/>
        <s v="Kaki0da "/>
        <s v="Kanpur 0gar"/>
        <s v="Karim0gar"/>
        <s v="Kohima"/>
        <s v="KOTA"/>
        <s v="Madurai"/>
        <s v="Muzaffarpur"/>
        <s v="0gpur"/>
        <s v="NDMC"/>
        <s v="New Town Kolkata"/>
        <s v="Pimpri Chinchwad"/>
        <s v="Raipur city"/>
        <s v="Salem"/>
        <s v="Sat0"/>
        <s v="Shillong"/>
        <s v="Shivamogga"/>
        <s v="Solapur Smart City"/>
        <s v="sri0gar"/>
        <s v="Thanjavur"/>
        <s v="Thoothukudi"/>
        <s v="Tiruchirappalli"/>
        <s v="Tirupati"/>
        <s v="Udaipur"/>
        <s v="Vadodara"/>
        <s v="Vara0si"/>
        <s v="Visakhapat0m"/>
        <s v="Warangal"/>
      </sharedItems>
    </cacheField>
    <cacheField name="Year" numFmtId="0">
      <sharedItems containsBlank="1" count="10">
        <s v="2018-19"/>
        <s v="2017-18"/>
        <s v="2018-19 (upto Feb)"/>
        <s v="2017-19"/>
        <s v="2017-20"/>
        <s v="2017-21"/>
        <s v="2018-19 (upto Jan)"/>
        <s v="2018-19 (upto Dec)"/>
        <m/>
        <s v="2016-17"/>
      </sharedItems>
    </cacheField>
    <cacheField name="Consumption of Electricity (in lakh units)-Domestic purpose" numFmtId="0">
      <sharedItems containsSemiMixedTypes="0" containsString="0" containsNumber="1" minValue="0" maxValue="344276"/>
    </cacheField>
    <cacheField name="Consumption of Electricity (in lakh units)-Commercial purpose" numFmtId="0">
      <sharedItems containsSemiMixedTypes="0" containsString="0" containsNumber="1" minValue="0" maxValue="117285"/>
    </cacheField>
    <cacheField name="Consumption of Electricity (in lakh units)-Industry purpose" numFmtId="0">
      <sharedItems containsSemiMixedTypes="0" containsString="0" containsNumber="1" minValue="0" maxValue="88547"/>
    </cacheField>
    <cacheField name="Consumption of Electricity (in lakh units)-Public Water Work &amp; Street Light" numFmtId="0">
      <sharedItems containsSemiMixedTypes="0" containsString="0" containsNumber="1" minValue="0" maxValue="68069"/>
    </cacheField>
    <cacheField name="Consumption of Electricity (in lakh units)-Others" numFmtId="0">
      <sharedItems containsSemiMixedTypes="0" containsString="0" containsNumber="1" minValue="0" maxValue="93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en drani" refreshedDate="45712.747893055559" createdVersion="8" refreshedVersion="8" minRefreshableVersion="3" recordCount="47" xr:uid="{55ED6BFE-A7D7-1F46-9488-2AD2384991E4}">
  <cacheSource type="worksheet">
    <worksheetSource ref="A1:H48" sheet="electricity-consumption-india-c"/>
  </cacheSource>
  <cacheFields count="8">
    <cacheField name="City " numFmtId="0">
      <sharedItems count="45">
        <s v="Agartala "/>
        <s v="Agra"/>
        <s v="Aizawl"/>
        <s v="Amritsar "/>
        <s v="Aurangabad Maharashtra (Total Consumption/Month)"/>
        <s v="Belagavi csd -1"/>
        <s v="Bengaluru"/>
        <s v="Chandigarh (in MU)"/>
        <s v="Chen0i"/>
        <s v="Dava0gere"/>
        <s v="Gwalior"/>
        <s v="Indore"/>
        <s v="Jabalpur"/>
        <s v="Jaipur-C-I"/>
        <s v="Jaipur-C-II"/>
        <s v="Jaipur-C-III"/>
        <s v="Jaipur-C-IV"/>
        <s v="Jhansi"/>
        <s v="Kaki0da "/>
        <s v="Kanpur 0gar"/>
        <s v="Karim0gar"/>
        <s v="Kohima"/>
        <s v="KOTA"/>
        <s v="Madurai"/>
        <s v="Muzaffarpur"/>
        <s v="0gpur"/>
        <s v="NDMC"/>
        <s v="New Town Kolkata"/>
        <s v="Pimpri Chinchwad"/>
        <s v="Raipur city"/>
        <s v="Salem"/>
        <s v="Sat0"/>
        <s v="Shillong"/>
        <s v="Shivamogga"/>
        <s v="Solapur Smart City"/>
        <s v="sri0gar"/>
        <s v="Thanjavur"/>
        <s v="Thoothukudi"/>
        <s v="Tiruchirappalli"/>
        <s v="Tirupati"/>
        <s v="Udaipur"/>
        <s v="Vadodara"/>
        <s v="Vara0si"/>
        <s v="Visakhapat0m"/>
        <s v="Warangal"/>
      </sharedItems>
    </cacheField>
    <cacheField name="Year" numFmtId="0">
      <sharedItems containsBlank="1" count="10">
        <s v="2018-19"/>
        <s v="2017-18"/>
        <s v="2018-19 (upto Feb)"/>
        <s v="2017-19"/>
        <s v="2017-20"/>
        <s v="2017-21"/>
        <s v="2018-19 (upto Jan)"/>
        <s v="2018-19 (upto Dec)"/>
        <m/>
        <s v="2016-17"/>
      </sharedItems>
    </cacheField>
    <cacheField name="Consumption of Electricity (in lakh units)-Domestic purpose" numFmtId="0">
      <sharedItems containsSemiMixedTypes="0" containsString="0" containsNumber="1" minValue="0" maxValue="344276"/>
    </cacheField>
    <cacheField name="Consumption of Electricity (in lakh units)-Commercial purpose" numFmtId="0">
      <sharedItems containsSemiMixedTypes="0" containsString="0" containsNumber="1" minValue="0" maxValue="117285"/>
    </cacheField>
    <cacheField name="Consumption of Electricity (in lakh units)-Industry purpose" numFmtId="0">
      <sharedItems containsSemiMixedTypes="0" containsString="0" containsNumber="1" minValue="0" maxValue="88547"/>
    </cacheField>
    <cacheField name="Consumption of Electricity (in lakh units)-Public Water Work &amp; Street Light" numFmtId="0">
      <sharedItems containsSemiMixedTypes="0" containsString="0" containsNumber="1" minValue="0" maxValue="68069"/>
    </cacheField>
    <cacheField name="Consumption of Electricity (in lakh units)-Others" numFmtId="0">
      <sharedItems containsSemiMixedTypes="0" containsString="0" containsNumber="1" minValue="0" maxValue="9357"/>
    </cacheField>
    <cacheField name="Consumption of Electricity (in lakh units)-Total Consumption" numFmtId="0">
      <sharedItems containsSemiMixedTypes="0" containsString="0" containsNumber="1" minValue="23.37" maxValue="5742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s v="2018-19"/>
    <n v="213.98"/>
    <n v="30.8"/>
    <n v="5.94"/>
    <n v="13.13"/>
    <n v="55.25"/>
    <n v="319.10000000000002"/>
  </r>
  <r>
    <x v="1"/>
    <s v="2017-18"/>
    <n v="9772"/>
    <n v="3811"/>
    <n v="2870"/>
    <n v="583"/>
    <n v="157"/>
    <n v="17191"/>
  </r>
  <r>
    <x v="2"/>
    <s v="2018-19"/>
    <n v="2386.9299999999998"/>
    <n v="481.15"/>
    <n v="133.41"/>
    <n v="437.78"/>
    <n v="518.54999999999995"/>
    <n v="3957.82"/>
  </r>
  <r>
    <x v="3"/>
    <s v="2017-18"/>
    <n v="4076.09"/>
    <n v="2131.73"/>
    <n v="1479.03"/>
    <n v="206"/>
    <n v="166.24"/>
    <n v="8059.09"/>
  </r>
  <r>
    <x v="4"/>
    <s v="2017-18"/>
    <n v="275.07"/>
    <n v="83.97"/>
    <n v="121.08"/>
    <n v="18.38"/>
    <n v="19.12"/>
    <n v="517.62"/>
  </r>
  <r>
    <x v="5"/>
    <s v="2017-18"/>
    <n v="15.2"/>
    <n v="13.1"/>
    <n v="1.5"/>
    <n v="3.7"/>
    <n v="6.8"/>
    <n v="40.299999999999997"/>
  </r>
  <r>
    <x v="6"/>
    <s v="2017-18"/>
    <n v="52701.286359999998"/>
    <n v="39082.118390000003"/>
    <n v="27116.79479"/>
    <n v="7425.8612940000003"/>
    <n v="5349.705962"/>
    <n v="131675.76680000001"/>
  </r>
  <r>
    <x v="7"/>
    <s v="2017-18"/>
    <n v="731.94"/>
    <n v="494.02"/>
    <n v="258.68"/>
    <n v="17.73"/>
    <n v="86.43"/>
    <n v="1588.8"/>
  </r>
  <r>
    <x v="8"/>
    <s v="2018-19"/>
    <n v="69265"/>
    <n v="41870"/>
    <n v="26515"/>
    <n v="1893"/>
    <n v="7795"/>
    <n v="147338"/>
  </r>
  <r>
    <x v="9"/>
    <s v="2017-18"/>
    <n v="1230"/>
    <n v="443.95"/>
    <n v="191.52"/>
    <n v="87.82"/>
    <n v="621.72"/>
    <n v="2627.36"/>
  </r>
  <r>
    <x v="10"/>
    <s v="2018-19 (upto Feb)"/>
    <n v="5669"/>
    <n v="1327"/>
    <n v="1668"/>
    <n v="837"/>
    <n v="56"/>
    <n v="9557"/>
  </r>
  <r>
    <x v="11"/>
    <s v="2018-19 (upto Feb)"/>
    <n v="10910.6"/>
    <n v="3858.5"/>
    <n v="2062.9"/>
    <n v="605.03"/>
    <n v="139.33000000000001"/>
    <n v="17576.37"/>
  </r>
  <r>
    <x v="12"/>
    <s v="2017-18"/>
    <n v="313.38"/>
    <n v="103.21"/>
    <n v="92.89"/>
    <n v="63.43"/>
    <n v="101.46"/>
    <n v="674.37"/>
  </r>
  <r>
    <x v="13"/>
    <s v="2017-18"/>
    <n v="117.89"/>
    <n v="273.41000000000003"/>
    <n v="10.56"/>
    <n v="4.47"/>
    <n v="0.15"/>
    <n v="406.48"/>
  </r>
  <r>
    <x v="14"/>
    <s v="2017-19"/>
    <n v="299.77"/>
    <n v="233.24"/>
    <n v="22.98"/>
    <n v="13.71"/>
    <n v="5.1999999999999998E-2"/>
    <n v="569.75199999999995"/>
  </r>
  <r>
    <x v="15"/>
    <s v="2017-20"/>
    <n v="286.39"/>
    <n v="473.53"/>
    <n v="7.32"/>
    <n v="8.9120000000000008"/>
    <n v="2.6469999999999998"/>
    <n v="778.79899999999998"/>
  </r>
  <r>
    <x v="16"/>
    <s v="2017-21"/>
    <n v="356.94"/>
    <n v="720.83"/>
    <n v="13.69"/>
    <n v="7.96"/>
    <n v="19.05"/>
    <n v="1118.47"/>
  </r>
  <r>
    <x v="17"/>
    <s v="2018-19"/>
    <n v="184.58"/>
    <n v="31.05"/>
    <n v="80.099999999999994"/>
    <n v="61.91"/>
    <n v="8.1"/>
    <n v="365.74"/>
  </r>
  <r>
    <x v="18"/>
    <s v="2018-19 (upto Jan)"/>
    <n v="2114.8000000000002"/>
    <n v="512.6"/>
    <n v="474"/>
    <n v="32.299999999999997"/>
    <n v="18.600000000000001"/>
    <n v="3152.31"/>
  </r>
  <r>
    <x v="19"/>
    <s v="2018-19 (upto Dec)"/>
    <n v="125010.1"/>
    <n v="2702.3"/>
    <n v="5745"/>
    <n v="978.4"/>
    <n v="2627.7"/>
    <n v="24563.5"/>
  </r>
  <r>
    <x v="20"/>
    <s v="2018-19"/>
    <n v="100.57"/>
    <n v="32.53"/>
    <n v="4.38"/>
    <n v="2.79"/>
    <n v="1.4"/>
    <n v="141.66999999999999"/>
  </r>
  <r>
    <x v="21"/>
    <s v="2017-18"/>
    <n v="36.741999999999997"/>
    <n v="5.8639999999999999"/>
    <n v="1.129"/>
    <n v="0.34200000000000003"/>
    <n v="9.7989999999999995"/>
    <n v="53.875999999999998"/>
  </r>
  <r>
    <x v="22"/>
    <s v="2017-18"/>
    <n v="4329.5345500000003"/>
    <n v="1915.63248"/>
    <n v="2263.9279799999999"/>
    <n v="168.59413000000001"/>
    <n v="369.22818000000001"/>
    <n v="9046.9173200000005"/>
  </r>
  <r>
    <x v="23"/>
    <s v="2018-19"/>
    <n v="44.260840000000002"/>
    <n v="76.426919999999996"/>
    <n v="16.561440000000001"/>
    <n v="6.5158699999999996"/>
    <n v="3.5395300000000001"/>
    <n v="146.565414"/>
  </r>
  <r>
    <x v="24"/>
    <s v="2018-19 (upto Jan)"/>
    <n v="84.93"/>
    <n v="14.47"/>
    <n v="7.45"/>
    <n v="0"/>
    <n v="0"/>
    <n v="106.88"/>
  </r>
  <r>
    <x v="25"/>
    <s v="2017-18"/>
    <n v="11261.37"/>
    <n v="3673.95"/>
    <n v="5582.41"/>
    <n v="1189.3399999999999"/>
    <n v="935.96"/>
    <n v="22643.03"/>
  </r>
  <r>
    <x v="25"/>
    <s v="2018-19"/>
    <n v="11894.76"/>
    <n v="4138.3100000000004"/>
    <n v="6020.76"/>
    <n v="1161.8900000000001"/>
    <n v="1183.6500000000001"/>
    <n v="24399.37"/>
  </r>
  <r>
    <x v="26"/>
    <s v="2018-19"/>
    <n v="1779.54"/>
    <n v="8021.45"/>
    <n v="0.22"/>
    <n v="51.2"/>
    <n v="335.26"/>
    <n v="10187.67"/>
  </r>
  <r>
    <x v="27"/>
    <s v="2017-18"/>
    <n v="709.66"/>
    <n v="2535.92"/>
    <n v="0.25"/>
    <n v="215.13"/>
    <n v="4.63"/>
    <n v="3465.6"/>
  </r>
  <r>
    <x v="28"/>
    <s v="2018-19 (upto Jan)"/>
    <n v="0"/>
    <n v="0"/>
    <n v="0"/>
    <n v="389.59"/>
    <n v="0"/>
    <n v="389.59"/>
  </r>
  <r>
    <x v="29"/>
    <s v="2018-19"/>
    <n v="435.92"/>
    <n v="1169.2"/>
    <n v="258.93"/>
    <n v="51.58"/>
    <n v="31.23"/>
    <n v="1946.86"/>
  </r>
  <r>
    <x v="30"/>
    <s v="2018-19"/>
    <n v="1225"/>
    <n v="332"/>
    <n v="176"/>
    <n v="34"/>
    <n v="23"/>
    <n v="1791"/>
  </r>
  <r>
    <x v="31"/>
    <s v="2017-18"/>
    <n v="1066.3499999999999"/>
    <n v="331.94"/>
    <n v="36.18"/>
    <n v="99.43"/>
    <n v="0.9"/>
    <n v="1534.8"/>
  </r>
  <r>
    <x v="32"/>
    <s v="2017-18"/>
    <n v="1900.6"/>
    <n v="539.5"/>
    <n v="33.1"/>
    <n v="244.5"/>
    <n v="600.79999999999995"/>
    <n v="3318.5"/>
  </r>
  <r>
    <x v="33"/>
    <s v="2018-19"/>
    <n v="767.6"/>
    <n v="366.49"/>
    <n v="1324.06"/>
    <n v="201.79"/>
    <n v="1687.16"/>
    <n v="4347.1000000000004"/>
  </r>
  <r>
    <x v="34"/>
    <m/>
    <n v="2056.0686999999998"/>
    <n v="2122.2832600000002"/>
    <n v="2534.91887"/>
    <n v="2111.4825799999999"/>
    <n v="2179.1049200000002"/>
    <n v="2825.5513700000001"/>
  </r>
  <r>
    <x v="35"/>
    <s v="2018-19 (upto Jan)"/>
    <n v="650"/>
    <n v="200"/>
    <n v="150"/>
    <n v="9"/>
    <n v="2.5"/>
    <n v="1110"/>
  </r>
  <r>
    <x v="36"/>
    <s v="2018-19"/>
    <n v="280"/>
    <n v="211.36"/>
    <n v="17.100000000000001"/>
    <n v="22.45"/>
    <n v="11.62"/>
    <n v="542.54"/>
  </r>
  <r>
    <x v="37"/>
    <s v="2018-19"/>
    <n v="688.22400000000005"/>
    <n v="1728.72"/>
    <n v="664.02"/>
    <n v="271.33999999999997"/>
    <n v="204.82400000000001"/>
    <n v="3199.0439999999999"/>
  </r>
  <r>
    <x v="38"/>
    <s v="2017-18"/>
    <n v="13.4"/>
    <n v="7.03"/>
    <n v="1.25"/>
    <n v="0.59"/>
    <n v="0.97"/>
    <n v="23.37"/>
  </r>
  <r>
    <x v="39"/>
    <s v="2018-19"/>
    <n v="93.49"/>
    <n v="26.1"/>
    <n v="3.54"/>
    <n v="7.2"/>
    <n v="1.3"/>
    <n v="131.63"/>
  </r>
  <r>
    <x v="40"/>
    <s v="2017-18"/>
    <n v="2299.19"/>
    <n v="1700.93"/>
    <n v="2162.11"/>
    <n v="252.47"/>
    <n v="229.52"/>
    <n v="6744.04"/>
  </r>
  <r>
    <x v="41"/>
    <s v="2017-18"/>
    <n v="11776.8"/>
    <n v="2079.4"/>
    <n v="1417.8"/>
    <n v="232.21"/>
    <n v="0"/>
    <n v="15506.21"/>
  </r>
  <r>
    <x v="42"/>
    <s v="2016-17"/>
    <n v="344276"/>
    <n v="117285"/>
    <n v="88547"/>
    <n v="26340"/>
    <n v="6965"/>
    <n v="574293"/>
  </r>
  <r>
    <x v="42"/>
    <s v="2017-18"/>
    <n v="227753"/>
    <n v="85207"/>
    <n v="43360"/>
    <n v="68069"/>
    <n v="9357"/>
    <n v="373746"/>
  </r>
  <r>
    <x v="43"/>
    <s v="2018-19 (upto Jan)"/>
    <n v="108.46"/>
    <n v="67.224000000000004"/>
    <n v="203.273"/>
    <n v="2.4710000000000001"/>
    <n v="42.378999999999998"/>
    <n v="423.80599999999998"/>
  </r>
  <r>
    <x v="44"/>
    <s v="2018-19"/>
    <n v="226.55"/>
    <n v="87.04"/>
    <n v="71.34"/>
    <n v="7.75"/>
    <n v="5.52"/>
    <n v="398.2"/>
  </r>
  <r>
    <x v="45"/>
    <m/>
    <m/>
    <m/>
    <m/>
    <m/>
    <m/>
    <m/>
  </r>
  <r>
    <x v="45"/>
    <m/>
    <m/>
    <m/>
    <m/>
    <m/>
    <m/>
    <m/>
  </r>
  <r>
    <x v="45"/>
    <m/>
    <m/>
    <m/>
    <m/>
    <m/>
    <m/>
    <m/>
  </r>
  <r>
    <x v="45"/>
    <m/>
    <m/>
    <m/>
    <m/>
    <m/>
    <m/>
    <m/>
  </r>
  <r>
    <x v="45"/>
    <m/>
    <m/>
    <m/>
    <m/>
    <m/>
    <m/>
    <m/>
  </r>
  <r>
    <x v="46"/>
    <m/>
    <n v="0"/>
    <m/>
    <m/>
    <m/>
    <m/>
    <m/>
  </r>
  <r>
    <x v="45"/>
    <m/>
    <m/>
    <m/>
    <m/>
    <m/>
    <m/>
    <m/>
  </r>
  <r>
    <x v="47"/>
    <m/>
    <n v="3858.5"/>
    <m/>
    <m/>
    <m/>
    <m/>
    <m/>
  </r>
  <r>
    <x v="45"/>
    <m/>
    <m/>
    <m/>
    <m/>
    <m/>
    <m/>
    <m/>
  </r>
  <r>
    <x v="48"/>
    <m/>
    <n v="1434540.4679039998"/>
    <m/>
    <m/>
    <m/>
    <m/>
    <m/>
  </r>
  <r>
    <x v="45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x v="0"/>
    <x v="0"/>
    <n v="213.98"/>
    <n v="30.8"/>
    <n v="5.94"/>
    <n v="13.13"/>
    <n v="55.25"/>
  </r>
  <r>
    <x v="1"/>
    <x v="1"/>
    <n v="9772"/>
    <n v="3811"/>
    <n v="2870"/>
    <n v="583"/>
    <n v="157"/>
  </r>
  <r>
    <x v="2"/>
    <x v="0"/>
    <n v="2386.9299999999998"/>
    <n v="481.15"/>
    <n v="133.41"/>
    <n v="437.78"/>
    <n v="518.54999999999995"/>
  </r>
  <r>
    <x v="3"/>
    <x v="1"/>
    <n v="4076.09"/>
    <n v="2131.73"/>
    <n v="1479.03"/>
    <n v="206"/>
    <n v="166.24"/>
  </r>
  <r>
    <x v="4"/>
    <x v="1"/>
    <n v="275.07"/>
    <n v="83.97"/>
    <n v="121.08"/>
    <n v="18.38"/>
    <n v="19.12"/>
  </r>
  <r>
    <x v="5"/>
    <x v="1"/>
    <n v="15.2"/>
    <n v="13.1"/>
    <n v="1.5"/>
    <n v="3.7"/>
    <n v="6.8"/>
  </r>
  <r>
    <x v="6"/>
    <x v="1"/>
    <n v="52701.286359999998"/>
    <n v="39082.118390000003"/>
    <n v="27116.79479"/>
    <n v="7425.8612940000003"/>
    <n v="5349.705962"/>
  </r>
  <r>
    <x v="7"/>
    <x v="1"/>
    <n v="731.94"/>
    <n v="494.02"/>
    <n v="258.68"/>
    <n v="17.73"/>
    <n v="86.43"/>
  </r>
  <r>
    <x v="8"/>
    <x v="0"/>
    <n v="69265"/>
    <n v="41870"/>
    <n v="26515"/>
    <n v="1893"/>
    <n v="7795"/>
  </r>
  <r>
    <x v="9"/>
    <x v="1"/>
    <n v="1230"/>
    <n v="443.95"/>
    <n v="191.52"/>
    <n v="87.82"/>
    <n v="621.72"/>
  </r>
  <r>
    <x v="10"/>
    <x v="2"/>
    <n v="5669"/>
    <n v="1327"/>
    <n v="1668"/>
    <n v="837"/>
    <n v="56"/>
  </r>
  <r>
    <x v="11"/>
    <x v="2"/>
    <n v="10910.6"/>
    <n v="3858.5"/>
    <n v="2062.9"/>
    <n v="605.03"/>
    <n v="139.33000000000001"/>
  </r>
  <r>
    <x v="12"/>
    <x v="1"/>
    <n v="313.38"/>
    <n v="103.21"/>
    <n v="92.89"/>
    <n v="63.43"/>
    <n v="101.46"/>
  </r>
  <r>
    <x v="13"/>
    <x v="1"/>
    <n v="117.89"/>
    <n v="273.41000000000003"/>
    <n v="10.56"/>
    <n v="4.47"/>
    <n v="0.15"/>
  </r>
  <r>
    <x v="14"/>
    <x v="3"/>
    <n v="299.77"/>
    <n v="233.24"/>
    <n v="22.98"/>
    <n v="13.71"/>
    <n v="5.1999999999999998E-2"/>
  </r>
  <r>
    <x v="15"/>
    <x v="4"/>
    <n v="286.39"/>
    <n v="473.53"/>
    <n v="7.32"/>
    <n v="8.9120000000000008"/>
    <n v="2.6469999999999998"/>
  </r>
  <r>
    <x v="16"/>
    <x v="5"/>
    <n v="356.94"/>
    <n v="720.83"/>
    <n v="13.69"/>
    <n v="7.96"/>
    <n v="19.05"/>
  </r>
  <r>
    <x v="17"/>
    <x v="0"/>
    <n v="184.58"/>
    <n v="31.05"/>
    <n v="80.099999999999994"/>
    <n v="61.91"/>
    <n v="8.1"/>
  </r>
  <r>
    <x v="18"/>
    <x v="6"/>
    <n v="2114.8000000000002"/>
    <n v="512.6"/>
    <n v="474"/>
    <n v="32.299999999999997"/>
    <n v="18.600000000000001"/>
  </r>
  <r>
    <x v="19"/>
    <x v="7"/>
    <n v="125010.1"/>
    <n v="2702.3"/>
    <n v="5745"/>
    <n v="978.4"/>
    <n v="2627.7"/>
  </r>
  <r>
    <x v="20"/>
    <x v="0"/>
    <n v="100.57"/>
    <n v="32.53"/>
    <n v="4.38"/>
    <n v="2.79"/>
    <n v="1.4"/>
  </r>
  <r>
    <x v="21"/>
    <x v="1"/>
    <n v="36.741999999999997"/>
    <n v="5.8639999999999999"/>
    <n v="1.129"/>
    <n v="0.34200000000000003"/>
    <n v="9.7989999999999995"/>
  </r>
  <r>
    <x v="22"/>
    <x v="1"/>
    <n v="4329.5345500000003"/>
    <n v="1915.63248"/>
    <n v="2263.9279799999999"/>
    <n v="168.59413000000001"/>
    <n v="369.22818000000001"/>
  </r>
  <r>
    <x v="23"/>
    <x v="0"/>
    <n v="44.260840000000002"/>
    <n v="76.426919999999996"/>
    <n v="16.561440000000001"/>
    <n v="6.5158699999999996"/>
    <n v="3.5395300000000001"/>
  </r>
  <r>
    <x v="24"/>
    <x v="6"/>
    <n v="84.93"/>
    <n v="14.47"/>
    <n v="7.45"/>
    <n v="0"/>
    <n v="0"/>
  </r>
  <r>
    <x v="25"/>
    <x v="1"/>
    <n v="11261.37"/>
    <n v="3673.95"/>
    <n v="5582.41"/>
    <n v="1189.3399999999999"/>
    <n v="935.96"/>
  </r>
  <r>
    <x v="25"/>
    <x v="0"/>
    <n v="11894.76"/>
    <n v="4138.3100000000004"/>
    <n v="6020.76"/>
    <n v="1161.8900000000001"/>
    <n v="1183.6500000000001"/>
  </r>
  <r>
    <x v="26"/>
    <x v="0"/>
    <n v="1779.54"/>
    <n v="8021.45"/>
    <n v="0.22"/>
    <n v="51.2"/>
    <n v="335.26"/>
  </r>
  <r>
    <x v="27"/>
    <x v="1"/>
    <n v="709.66"/>
    <n v="2535.92"/>
    <n v="0.25"/>
    <n v="215.13"/>
    <n v="4.63"/>
  </r>
  <r>
    <x v="28"/>
    <x v="6"/>
    <n v="0"/>
    <n v="0"/>
    <n v="0"/>
    <n v="389.59"/>
    <n v="0"/>
  </r>
  <r>
    <x v="29"/>
    <x v="0"/>
    <n v="435.92"/>
    <n v="1169.2"/>
    <n v="258.93"/>
    <n v="51.58"/>
    <n v="31.23"/>
  </r>
  <r>
    <x v="30"/>
    <x v="0"/>
    <n v="1225"/>
    <n v="332"/>
    <n v="176"/>
    <n v="34"/>
    <n v="23"/>
  </r>
  <r>
    <x v="31"/>
    <x v="1"/>
    <n v="1066.3499999999999"/>
    <n v="331.94"/>
    <n v="36.18"/>
    <n v="99.43"/>
    <n v="0.9"/>
  </r>
  <r>
    <x v="32"/>
    <x v="1"/>
    <n v="1900.6"/>
    <n v="539.5"/>
    <n v="33.1"/>
    <n v="244.5"/>
    <n v="600.79999999999995"/>
  </r>
  <r>
    <x v="33"/>
    <x v="0"/>
    <n v="767.6"/>
    <n v="366.49"/>
    <n v="1324.06"/>
    <n v="201.79"/>
    <n v="1687.16"/>
  </r>
  <r>
    <x v="34"/>
    <x v="8"/>
    <n v="2056.0686999999998"/>
    <n v="2122.2832600000002"/>
    <n v="2534.91887"/>
    <n v="2111.4825799999999"/>
    <n v="2179.1049200000002"/>
  </r>
  <r>
    <x v="35"/>
    <x v="6"/>
    <n v="650"/>
    <n v="200"/>
    <n v="150"/>
    <n v="9"/>
    <n v="2.5"/>
  </r>
  <r>
    <x v="36"/>
    <x v="0"/>
    <n v="280"/>
    <n v="211.36"/>
    <n v="17.100000000000001"/>
    <n v="22.45"/>
    <n v="11.62"/>
  </r>
  <r>
    <x v="37"/>
    <x v="0"/>
    <n v="688.22400000000005"/>
    <n v="1728.72"/>
    <n v="664.02"/>
    <n v="271.33999999999997"/>
    <n v="204.82400000000001"/>
  </r>
  <r>
    <x v="38"/>
    <x v="1"/>
    <n v="13.4"/>
    <n v="7.03"/>
    <n v="1.25"/>
    <n v="0.59"/>
    <n v="0.97"/>
  </r>
  <r>
    <x v="39"/>
    <x v="0"/>
    <n v="93.49"/>
    <n v="26.1"/>
    <n v="3.54"/>
    <n v="7.2"/>
    <n v="1.3"/>
  </r>
  <r>
    <x v="40"/>
    <x v="1"/>
    <n v="2299.19"/>
    <n v="1700.93"/>
    <n v="2162.11"/>
    <n v="252.47"/>
    <n v="229.52"/>
  </r>
  <r>
    <x v="41"/>
    <x v="1"/>
    <n v="11776.8"/>
    <n v="2079.4"/>
    <n v="1417.8"/>
    <n v="232.21"/>
    <n v="0"/>
  </r>
  <r>
    <x v="42"/>
    <x v="9"/>
    <n v="344276"/>
    <n v="117285"/>
    <n v="88547"/>
    <n v="26340"/>
    <n v="6965"/>
  </r>
  <r>
    <x v="42"/>
    <x v="1"/>
    <n v="227753"/>
    <n v="85207"/>
    <n v="43360"/>
    <n v="68069"/>
    <n v="9357"/>
  </r>
  <r>
    <x v="43"/>
    <x v="6"/>
    <n v="108.46"/>
    <n v="67.224000000000004"/>
    <n v="203.273"/>
    <n v="2.4710000000000001"/>
    <n v="42.378999999999998"/>
  </r>
  <r>
    <x v="44"/>
    <x v="0"/>
    <n v="226.55"/>
    <n v="87.04"/>
    <n v="71.34"/>
    <n v="7.75"/>
    <n v="5.5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x v="0"/>
    <x v="0"/>
    <n v="213.98"/>
    <n v="30.8"/>
    <n v="5.94"/>
    <n v="13.13"/>
    <n v="55.25"/>
    <n v="319.10000000000002"/>
  </r>
  <r>
    <x v="1"/>
    <x v="1"/>
    <n v="9772"/>
    <n v="3811"/>
    <n v="2870"/>
    <n v="583"/>
    <n v="157"/>
    <n v="17191"/>
  </r>
  <r>
    <x v="2"/>
    <x v="0"/>
    <n v="2386.9299999999998"/>
    <n v="481.15"/>
    <n v="133.41"/>
    <n v="437.78"/>
    <n v="518.54999999999995"/>
    <n v="3957.82"/>
  </r>
  <r>
    <x v="3"/>
    <x v="1"/>
    <n v="4076.09"/>
    <n v="2131.73"/>
    <n v="1479.03"/>
    <n v="206"/>
    <n v="166.24"/>
    <n v="8059.09"/>
  </r>
  <r>
    <x v="4"/>
    <x v="1"/>
    <n v="275.07"/>
    <n v="83.97"/>
    <n v="121.08"/>
    <n v="18.38"/>
    <n v="19.12"/>
    <n v="517.62"/>
  </r>
  <r>
    <x v="5"/>
    <x v="1"/>
    <n v="15.2"/>
    <n v="13.1"/>
    <n v="1.5"/>
    <n v="3.7"/>
    <n v="6.8"/>
    <n v="40.299999999999997"/>
  </r>
  <r>
    <x v="6"/>
    <x v="1"/>
    <n v="52701.286359999998"/>
    <n v="39082.118390000003"/>
    <n v="27116.79479"/>
    <n v="7425.8612940000003"/>
    <n v="5349.705962"/>
    <n v="131675.76680000001"/>
  </r>
  <r>
    <x v="7"/>
    <x v="1"/>
    <n v="731.94"/>
    <n v="494.02"/>
    <n v="258.68"/>
    <n v="17.73"/>
    <n v="86.43"/>
    <n v="1588.8"/>
  </r>
  <r>
    <x v="8"/>
    <x v="0"/>
    <n v="69265"/>
    <n v="41870"/>
    <n v="26515"/>
    <n v="1893"/>
    <n v="7795"/>
    <n v="147338"/>
  </r>
  <r>
    <x v="9"/>
    <x v="1"/>
    <n v="1230"/>
    <n v="443.95"/>
    <n v="191.52"/>
    <n v="87.82"/>
    <n v="621.72"/>
    <n v="2627.36"/>
  </r>
  <r>
    <x v="10"/>
    <x v="2"/>
    <n v="5669"/>
    <n v="1327"/>
    <n v="1668"/>
    <n v="837"/>
    <n v="56"/>
    <n v="9557"/>
  </r>
  <r>
    <x v="11"/>
    <x v="2"/>
    <n v="10910.6"/>
    <n v="3858.5"/>
    <n v="2062.9"/>
    <n v="605.03"/>
    <n v="139.33000000000001"/>
    <n v="17576.37"/>
  </r>
  <r>
    <x v="12"/>
    <x v="1"/>
    <n v="313.38"/>
    <n v="103.21"/>
    <n v="92.89"/>
    <n v="63.43"/>
    <n v="101.46"/>
    <n v="674.37"/>
  </r>
  <r>
    <x v="13"/>
    <x v="1"/>
    <n v="117.89"/>
    <n v="273.41000000000003"/>
    <n v="10.56"/>
    <n v="4.47"/>
    <n v="0.15"/>
    <n v="406.48"/>
  </r>
  <r>
    <x v="14"/>
    <x v="3"/>
    <n v="299.77"/>
    <n v="233.24"/>
    <n v="22.98"/>
    <n v="13.71"/>
    <n v="5.1999999999999998E-2"/>
    <n v="569.75199999999995"/>
  </r>
  <r>
    <x v="15"/>
    <x v="4"/>
    <n v="286.39"/>
    <n v="473.53"/>
    <n v="7.32"/>
    <n v="8.9120000000000008"/>
    <n v="2.6469999999999998"/>
    <n v="778.79899999999998"/>
  </r>
  <r>
    <x v="16"/>
    <x v="5"/>
    <n v="356.94"/>
    <n v="720.83"/>
    <n v="13.69"/>
    <n v="7.96"/>
    <n v="19.05"/>
    <n v="1118.47"/>
  </r>
  <r>
    <x v="17"/>
    <x v="0"/>
    <n v="184.58"/>
    <n v="31.05"/>
    <n v="80.099999999999994"/>
    <n v="61.91"/>
    <n v="8.1"/>
    <n v="365.74"/>
  </r>
  <r>
    <x v="18"/>
    <x v="6"/>
    <n v="2114.8000000000002"/>
    <n v="512.6"/>
    <n v="474"/>
    <n v="32.299999999999997"/>
    <n v="18.600000000000001"/>
    <n v="3152.31"/>
  </r>
  <r>
    <x v="19"/>
    <x v="7"/>
    <n v="125010.1"/>
    <n v="2702.3"/>
    <n v="5745"/>
    <n v="978.4"/>
    <n v="2627.7"/>
    <n v="24563.5"/>
  </r>
  <r>
    <x v="20"/>
    <x v="0"/>
    <n v="100.57"/>
    <n v="32.53"/>
    <n v="4.38"/>
    <n v="2.79"/>
    <n v="1.4"/>
    <n v="141.66999999999999"/>
  </r>
  <r>
    <x v="21"/>
    <x v="1"/>
    <n v="36.741999999999997"/>
    <n v="5.8639999999999999"/>
    <n v="1.129"/>
    <n v="0.34200000000000003"/>
    <n v="9.7989999999999995"/>
    <n v="53.875999999999998"/>
  </r>
  <r>
    <x v="22"/>
    <x v="1"/>
    <n v="4329.5345500000003"/>
    <n v="1915.63248"/>
    <n v="2263.9279799999999"/>
    <n v="168.59413000000001"/>
    <n v="369.22818000000001"/>
    <n v="9046.9173200000005"/>
  </r>
  <r>
    <x v="23"/>
    <x v="0"/>
    <n v="44.260840000000002"/>
    <n v="76.426919999999996"/>
    <n v="16.561440000000001"/>
    <n v="6.5158699999999996"/>
    <n v="3.5395300000000001"/>
    <n v="146.565414"/>
  </r>
  <r>
    <x v="24"/>
    <x v="6"/>
    <n v="84.93"/>
    <n v="14.47"/>
    <n v="7.45"/>
    <n v="0"/>
    <n v="0"/>
    <n v="106.88"/>
  </r>
  <r>
    <x v="25"/>
    <x v="1"/>
    <n v="11261.37"/>
    <n v="3673.95"/>
    <n v="5582.41"/>
    <n v="1189.3399999999999"/>
    <n v="935.96"/>
    <n v="22643.03"/>
  </r>
  <r>
    <x v="25"/>
    <x v="0"/>
    <n v="11894.76"/>
    <n v="4138.3100000000004"/>
    <n v="6020.76"/>
    <n v="1161.8900000000001"/>
    <n v="1183.6500000000001"/>
    <n v="24399.37"/>
  </r>
  <r>
    <x v="26"/>
    <x v="0"/>
    <n v="1779.54"/>
    <n v="8021.45"/>
    <n v="0.22"/>
    <n v="51.2"/>
    <n v="335.26"/>
    <n v="10187.67"/>
  </r>
  <r>
    <x v="27"/>
    <x v="1"/>
    <n v="709.66"/>
    <n v="2535.92"/>
    <n v="0.25"/>
    <n v="215.13"/>
    <n v="4.63"/>
    <n v="3465.6"/>
  </r>
  <r>
    <x v="28"/>
    <x v="6"/>
    <n v="0"/>
    <n v="0"/>
    <n v="0"/>
    <n v="389.59"/>
    <n v="0"/>
    <n v="389.59"/>
  </r>
  <r>
    <x v="29"/>
    <x v="0"/>
    <n v="435.92"/>
    <n v="1169.2"/>
    <n v="258.93"/>
    <n v="51.58"/>
    <n v="31.23"/>
    <n v="1946.86"/>
  </r>
  <r>
    <x v="30"/>
    <x v="0"/>
    <n v="1225"/>
    <n v="332"/>
    <n v="176"/>
    <n v="34"/>
    <n v="23"/>
    <n v="1791"/>
  </r>
  <r>
    <x v="31"/>
    <x v="1"/>
    <n v="1066.3499999999999"/>
    <n v="331.94"/>
    <n v="36.18"/>
    <n v="99.43"/>
    <n v="0.9"/>
    <n v="1534.8"/>
  </r>
  <r>
    <x v="32"/>
    <x v="1"/>
    <n v="1900.6"/>
    <n v="539.5"/>
    <n v="33.1"/>
    <n v="244.5"/>
    <n v="600.79999999999995"/>
    <n v="3318.5"/>
  </r>
  <r>
    <x v="33"/>
    <x v="0"/>
    <n v="767.6"/>
    <n v="366.49"/>
    <n v="1324.06"/>
    <n v="201.79"/>
    <n v="1687.16"/>
    <n v="4347.1000000000004"/>
  </r>
  <r>
    <x v="34"/>
    <x v="8"/>
    <n v="2056.0686999999998"/>
    <n v="2122.2832600000002"/>
    <n v="2534.91887"/>
    <n v="2111.4825799999999"/>
    <n v="2179.1049200000002"/>
    <n v="2825.5513700000001"/>
  </r>
  <r>
    <x v="35"/>
    <x v="6"/>
    <n v="650"/>
    <n v="200"/>
    <n v="150"/>
    <n v="9"/>
    <n v="2.5"/>
    <n v="1110"/>
  </r>
  <r>
    <x v="36"/>
    <x v="0"/>
    <n v="280"/>
    <n v="211.36"/>
    <n v="17.100000000000001"/>
    <n v="22.45"/>
    <n v="11.62"/>
    <n v="542.54"/>
  </r>
  <r>
    <x v="37"/>
    <x v="0"/>
    <n v="688.22400000000005"/>
    <n v="1728.72"/>
    <n v="664.02"/>
    <n v="271.33999999999997"/>
    <n v="204.82400000000001"/>
    <n v="3199.0439999999999"/>
  </r>
  <r>
    <x v="38"/>
    <x v="1"/>
    <n v="13.4"/>
    <n v="7.03"/>
    <n v="1.25"/>
    <n v="0.59"/>
    <n v="0.97"/>
    <n v="23.37"/>
  </r>
  <r>
    <x v="39"/>
    <x v="0"/>
    <n v="93.49"/>
    <n v="26.1"/>
    <n v="3.54"/>
    <n v="7.2"/>
    <n v="1.3"/>
    <n v="131.63"/>
  </r>
  <r>
    <x v="40"/>
    <x v="1"/>
    <n v="2299.19"/>
    <n v="1700.93"/>
    <n v="2162.11"/>
    <n v="252.47"/>
    <n v="229.52"/>
    <n v="6744.04"/>
  </r>
  <r>
    <x v="41"/>
    <x v="1"/>
    <n v="11776.8"/>
    <n v="2079.4"/>
    <n v="1417.8"/>
    <n v="232.21"/>
    <n v="0"/>
    <n v="15506.21"/>
  </r>
  <r>
    <x v="42"/>
    <x v="9"/>
    <n v="344276"/>
    <n v="117285"/>
    <n v="88547"/>
    <n v="26340"/>
    <n v="6965"/>
    <n v="574293"/>
  </r>
  <r>
    <x v="42"/>
    <x v="1"/>
    <n v="227753"/>
    <n v="85207"/>
    <n v="43360"/>
    <n v="68069"/>
    <n v="9357"/>
    <n v="373746"/>
  </r>
  <r>
    <x v="43"/>
    <x v="6"/>
    <n v="108.46"/>
    <n v="67.224000000000004"/>
    <n v="203.273"/>
    <n v="2.4710000000000001"/>
    <n v="42.378999999999998"/>
    <n v="423.80599999999998"/>
  </r>
  <r>
    <x v="44"/>
    <x v="0"/>
    <n v="226.55"/>
    <n v="87.04"/>
    <n v="71.34"/>
    <n v="7.75"/>
    <n v="5.52"/>
    <n v="398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1D389-F9AF-B542-A74F-E9720514E3DB}" name="PivotTable9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City">
  <location ref="F60:G106" firstHeaderRow="1" firstDataRow="1" firstDataCol="1"/>
  <pivotFields count="8">
    <pivotField axis="axisRow" showAll="0">
      <items count="46">
        <item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dataFields count="1">
    <dataField name="Sum of Consumption of Electricity (in lakh units)-Public Water Work &amp; Street Light" fld="5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</reference>
          </references>
        </pivotArea>
      </pivotAreas>
    </conditionalFormat>
  </conditionalFormats>
  <chartFormats count="9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4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D3F5E7-9ABD-D74D-9889-4BA761970C6C}" name="Difference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H3:M8" firstHeaderRow="0" firstDataRow="1" firstDataCol="1"/>
  <pivotFields count="8">
    <pivotField axis="axisRow" multipleItemSelectionAllowed="1" showAll="0">
      <items count="46">
        <item h="1" x="25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  <item h="1" x="44"/>
        <item t="default"/>
      </items>
    </pivotField>
    <pivotField axis="axisRow" showAll="0">
      <items count="11">
        <item x="9"/>
        <item x="1"/>
        <item x="3"/>
        <item x="4"/>
        <item x="5"/>
        <item x="0"/>
        <item x="7"/>
        <item x="2"/>
        <item x="6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1"/>
    <field x="0"/>
  </rowFields>
  <rowItems count="5">
    <i>
      <x/>
    </i>
    <i r="1">
      <x v="42"/>
    </i>
    <i>
      <x v="1"/>
    </i>
    <i r="1">
      <x v="4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Consumption of Electricity (in lakh units)-Domestic purpose" fld="2" baseField="0" baseItem="0"/>
    <dataField name="Sum of Consumption of Electricity (in lakh units)-Commercial purpose" fld="3" baseField="0" baseItem="0"/>
    <dataField name="Sum of Consumption of Electricity (in lakh units)-Industry purpose" fld="4" baseField="0" baseItem="0"/>
    <dataField name="Sum of Consumption of Electricity (in lakh units)-Public Water Work &amp; Street Light" fld="5" baseField="0" baseItem="0"/>
    <dataField name="Sum of Consumption of Electricity (in lakh units)-Others" fld="6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Difference in Electricity Consumptio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06FFD-4B69-334B-844E-43765D9F6389}" name="PivotTable6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21" firstHeaderRow="0" firstDataRow="0" firstDataCol="0" rowPageCount="1" colPageCount="1"/>
  <pivotFields count="7">
    <pivotField axis="axisPage" showAll="0">
      <items count="46">
        <item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0F141-F42D-D34F-A647-00C8A920F94E}" name="PivotTable5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Years">
  <location ref="E3:F14" firstHeaderRow="1" firstDataRow="1" firstDataCol="1"/>
  <pivotFields count="8">
    <pivotField showAll="0"/>
    <pivotField axis="axisRow" showAll="0">
      <items count="11">
        <item x="9"/>
        <item x="1"/>
        <item x="3"/>
        <item x="4"/>
        <item x="5"/>
        <item x="0"/>
        <item x="7"/>
        <item x="2"/>
        <item x="6"/>
        <item x="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Consumption of Electricity (in lakh units)-Total Consumption" fld="7" baseField="0" baseItem="0"/>
  </dataField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324706-3833-FE4C-BAAD-B7B230E5329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City">
  <location ref="A3:B53" firstHeaderRow="1" firstDataRow="1" firstDataCol="1"/>
  <pivotFields count="8">
    <pivotField axis="axisRow" showAll="0">
      <items count="50">
        <item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4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8"/>
        <item x="40"/>
        <item x="41"/>
        <item x="42"/>
        <item x="43"/>
        <item x="47"/>
        <item x="44"/>
        <item x="4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Items count="1">
    <i/>
  </colItems>
  <dataFields count="1">
    <dataField name="Sum of Consumption of Electricity (in lakh units)-Industry purpose" fld="4" baseField="0" baseItem="0"/>
  </dataField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8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C849-D85B-3347-8C87-28AF7E93B9E1}">
  <dimension ref="A3:M106"/>
  <sheetViews>
    <sheetView workbookViewId="0">
      <selection activeCell="I76" sqref="I76"/>
    </sheetView>
  </sheetViews>
  <sheetFormatPr baseColWidth="10" defaultRowHeight="16" x14ac:dyDescent="0.2"/>
  <cols>
    <col min="1" max="1" width="47.83203125" bestFit="1" customWidth="1"/>
    <col min="2" max="2" width="56.1640625" bestFit="1" customWidth="1"/>
    <col min="5" max="5" width="17" bestFit="1" customWidth="1"/>
    <col min="6" max="6" width="45" bestFit="1" customWidth="1"/>
    <col min="7" max="7" width="69.5" bestFit="1" customWidth="1"/>
    <col min="8" max="8" width="13" bestFit="1" customWidth="1"/>
    <col min="9" max="9" width="57.83203125" bestFit="1" customWidth="1"/>
    <col min="10" max="10" width="60" bestFit="1" customWidth="1"/>
    <col min="11" max="11" width="56.1640625" bestFit="1" customWidth="1"/>
    <col min="12" max="12" width="69.5" bestFit="1" customWidth="1"/>
    <col min="13" max="13" width="48" bestFit="1" customWidth="1"/>
    <col min="14" max="14" width="9.5" bestFit="1" customWidth="1"/>
    <col min="15" max="15" width="17" bestFit="1" customWidth="1"/>
    <col min="16" max="16" width="7" bestFit="1" customWidth="1"/>
    <col min="17" max="17" width="10" bestFit="1" customWidth="1"/>
    <col min="18" max="18" width="7.5" bestFit="1" customWidth="1"/>
    <col min="19" max="19" width="6.33203125" bestFit="1" customWidth="1"/>
    <col min="20" max="20" width="8" bestFit="1" customWidth="1"/>
    <col min="21" max="21" width="9.1640625" bestFit="1" customWidth="1"/>
    <col min="22" max="22" width="9.6640625" bestFit="1" customWidth="1"/>
    <col min="23" max="23" width="10.1640625" bestFit="1" customWidth="1"/>
    <col min="24" max="24" width="10.33203125" bestFit="1" customWidth="1"/>
    <col min="25" max="25" width="6.33203125" bestFit="1" customWidth="1"/>
    <col min="26" max="26" width="8.1640625" bestFit="1" customWidth="1"/>
    <col min="27" max="27" width="11" bestFit="1" customWidth="1"/>
    <col min="28" max="28" width="9.83203125" bestFit="1" customWidth="1"/>
    <col min="29" max="29" width="7.5" bestFit="1" customWidth="1"/>
    <col min="30" max="30" width="5.6640625" bestFit="1" customWidth="1"/>
    <col min="31" max="31" width="7.83203125" bestFit="1" customWidth="1"/>
    <col min="32" max="32" width="11.1640625" bestFit="1" customWidth="1"/>
    <col min="33" max="33" width="6.6640625" bestFit="1" customWidth="1"/>
    <col min="34" max="34" width="16" bestFit="1" customWidth="1"/>
    <col min="35" max="35" width="16.33203125" bestFit="1" customWidth="1"/>
    <col min="36" max="36" width="9.83203125" bestFit="1" customWidth="1"/>
    <col min="37" max="37" width="6.33203125" bestFit="1" customWidth="1"/>
    <col min="38" max="38" width="4.83203125" bestFit="1" customWidth="1"/>
    <col min="39" max="39" width="7.6640625" bestFit="1" customWidth="1"/>
    <col min="40" max="40" width="11.1640625" bestFit="1" customWidth="1"/>
    <col min="41" max="41" width="16.5" bestFit="1" customWidth="1"/>
    <col min="42" max="42" width="7" bestFit="1" customWidth="1"/>
    <col min="43" max="43" width="9" bestFit="1" customWidth="1"/>
    <col min="44" max="44" width="11.1640625" bestFit="1" customWidth="1"/>
    <col min="45" max="45" width="12.83203125" bestFit="1" customWidth="1"/>
    <col min="46" max="46" width="7.33203125" bestFit="1" customWidth="1"/>
    <col min="47" max="47" width="7.5" bestFit="1" customWidth="1"/>
    <col min="48" max="48" width="9" bestFit="1" customWidth="1"/>
    <col min="49" max="49" width="7.5" bestFit="1" customWidth="1"/>
    <col min="50" max="50" width="13.1640625" bestFit="1" customWidth="1"/>
    <col min="51" max="51" width="9" bestFit="1" customWidth="1"/>
    <col min="52" max="52" width="10.5" bestFit="1" customWidth="1"/>
  </cols>
  <sheetData>
    <row r="3" spans="1:13" x14ac:dyDescent="0.2">
      <c r="A3" s="2" t="s">
        <v>73</v>
      </c>
      <c r="B3" t="s">
        <v>67</v>
      </c>
      <c r="E3" s="2" t="s">
        <v>72</v>
      </c>
      <c r="F3" t="s">
        <v>71</v>
      </c>
      <c r="H3" s="2" t="s">
        <v>68</v>
      </c>
      <c r="I3" t="s">
        <v>65</v>
      </c>
      <c r="J3" t="s">
        <v>66</v>
      </c>
      <c r="K3" t="s">
        <v>67</v>
      </c>
      <c r="L3" t="s">
        <v>75</v>
      </c>
      <c r="M3" t="s">
        <v>76</v>
      </c>
    </row>
    <row r="4" spans="1:13" x14ac:dyDescent="0.2">
      <c r="A4" s="3" t="s">
        <v>57</v>
      </c>
      <c r="B4" s="1">
        <v>11603.17</v>
      </c>
      <c r="E4" s="3" t="s">
        <v>50</v>
      </c>
      <c r="F4" s="1">
        <v>574293</v>
      </c>
      <c r="H4" s="3" t="s">
        <v>50</v>
      </c>
      <c r="I4" s="1">
        <v>344276</v>
      </c>
      <c r="J4" s="1">
        <v>117285</v>
      </c>
      <c r="K4" s="1">
        <v>88547</v>
      </c>
      <c r="L4" s="1">
        <v>26340</v>
      </c>
      <c r="M4" s="1">
        <v>6965</v>
      </c>
    </row>
    <row r="5" spans="1:13" x14ac:dyDescent="0.2">
      <c r="A5" s="3" t="s">
        <v>8</v>
      </c>
      <c r="B5" s="1">
        <v>5.94</v>
      </c>
      <c r="E5" s="3" t="s">
        <v>11</v>
      </c>
      <c r="F5" s="1">
        <v>598863.13011999999</v>
      </c>
      <c r="H5" s="4" t="s">
        <v>60</v>
      </c>
      <c r="I5" s="1">
        <v>344276</v>
      </c>
      <c r="J5" s="1">
        <v>117285</v>
      </c>
      <c r="K5" s="1">
        <v>88547</v>
      </c>
      <c r="L5" s="1">
        <v>26340</v>
      </c>
      <c r="M5" s="1">
        <v>6965</v>
      </c>
    </row>
    <row r="6" spans="1:13" x14ac:dyDescent="0.2">
      <c r="A6" s="3" t="s">
        <v>10</v>
      </c>
      <c r="B6" s="1">
        <v>2870</v>
      </c>
      <c r="E6" s="3" t="s">
        <v>24</v>
      </c>
      <c r="F6" s="1">
        <v>569.75199999999995</v>
      </c>
      <c r="H6" s="3" t="s">
        <v>11</v>
      </c>
      <c r="I6" s="1">
        <v>227753</v>
      </c>
      <c r="J6" s="1">
        <v>85207</v>
      </c>
      <c r="K6" s="1">
        <v>43360</v>
      </c>
      <c r="L6" s="1">
        <v>68069</v>
      </c>
      <c r="M6" s="1">
        <v>9357</v>
      </c>
    </row>
    <row r="7" spans="1:13" x14ac:dyDescent="0.2">
      <c r="A7" s="3" t="s">
        <v>12</v>
      </c>
      <c r="B7" s="1">
        <v>133.41</v>
      </c>
      <c r="E7" s="3" t="s">
        <v>26</v>
      </c>
      <c r="F7" s="1">
        <v>778.79899999999998</v>
      </c>
      <c r="H7" s="4" t="s">
        <v>60</v>
      </c>
      <c r="I7" s="1">
        <v>227753</v>
      </c>
      <c r="J7" s="1">
        <v>85207</v>
      </c>
      <c r="K7" s="1">
        <v>43360</v>
      </c>
      <c r="L7" s="1">
        <v>68069</v>
      </c>
      <c r="M7" s="1">
        <v>9357</v>
      </c>
    </row>
    <row r="8" spans="1:13" x14ac:dyDescent="0.2">
      <c r="A8" s="3" t="s">
        <v>13</v>
      </c>
      <c r="B8" s="1">
        <v>1479.03</v>
      </c>
      <c r="E8" s="3" t="s">
        <v>28</v>
      </c>
      <c r="F8" s="1">
        <v>1118.47</v>
      </c>
      <c r="H8" s="3" t="s">
        <v>70</v>
      </c>
      <c r="I8" s="1">
        <v>572029</v>
      </c>
      <c r="J8" s="1">
        <v>202492</v>
      </c>
      <c r="K8" s="1">
        <v>131907</v>
      </c>
      <c r="L8" s="1">
        <v>94409</v>
      </c>
      <c r="M8" s="1">
        <v>16322</v>
      </c>
    </row>
    <row r="9" spans="1:13" x14ac:dyDescent="0.2">
      <c r="A9" s="3" t="s">
        <v>14</v>
      </c>
      <c r="B9" s="1">
        <v>121.08</v>
      </c>
      <c r="E9" s="3" t="s">
        <v>9</v>
      </c>
      <c r="F9" s="1">
        <v>199212.30941400005</v>
      </c>
    </row>
    <row r="10" spans="1:13" x14ac:dyDescent="0.2">
      <c r="A10" s="3" t="s">
        <v>15</v>
      </c>
      <c r="B10" s="1">
        <v>1.5</v>
      </c>
      <c r="E10" s="3" t="s">
        <v>31</v>
      </c>
      <c r="F10" s="1">
        <v>24563.5</v>
      </c>
    </row>
    <row r="11" spans="1:13" x14ac:dyDescent="0.2">
      <c r="A11" s="3" t="s">
        <v>16</v>
      </c>
      <c r="B11" s="1">
        <v>27116.79479</v>
      </c>
      <c r="E11" s="3" t="s">
        <v>19</v>
      </c>
      <c r="F11" s="1">
        <v>27133.37</v>
      </c>
    </row>
    <row r="12" spans="1:13" x14ac:dyDescent="0.2">
      <c r="A12" s="3" t="s">
        <v>17</v>
      </c>
      <c r="B12" s="1">
        <v>258.68</v>
      </c>
      <c r="E12" s="3" t="s">
        <v>30</v>
      </c>
      <c r="F12" s="1">
        <v>5182.5860000000002</v>
      </c>
    </row>
    <row r="13" spans="1:13" x14ac:dyDescent="0.2">
      <c r="A13" s="3" t="s">
        <v>52</v>
      </c>
      <c r="B13" s="1">
        <v>26515</v>
      </c>
      <c r="E13" s="3" t="s">
        <v>69</v>
      </c>
      <c r="F13" s="1">
        <v>2825.5513700000001</v>
      </c>
    </row>
    <row r="14" spans="1:13" x14ac:dyDescent="0.2">
      <c r="A14" s="3" t="s">
        <v>53</v>
      </c>
      <c r="B14" s="1">
        <v>191.52</v>
      </c>
      <c r="E14" s="3" t="s">
        <v>70</v>
      </c>
      <c r="F14" s="1">
        <v>1434540.4679040001</v>
      </c>
    </row>
    <row r="15" spans="1:13" x14ac:dyDescent="0.2">
      <c r="A15" s="3" t="s">
        <v>18</v>
      </c>
      <c r="B15" s="1">
        <v>1668</v>
      </c>
    </row>
    <row r="16" spans="1:13" x14ac:dyDescent="0.2">
      <c r="A16" s="3" t="s">
        <v>20</v>
      </c>
      <c r="B16" s="1">
        <v>2062.9</v>
      </c>
    </row>
    <row r="17" spans="1:6" x14ac:dyDescent="0.2">
      <c r="A17" s="3" t="s">
        <v>21</v>
      </c>
      <c r="B17" s="1">
        <v>92.89</v>
      </c>
    </row>
    <row r="18" spans="1:6" x14ac:dyDescent="0.2">
      <c r="A18" s="3" t="s">
        <v>22</v>
      </c>
      <c r="B18" s="1">
        <v>10.56</v>
      </c>
    </row>
    <row r="19" spans="1:6" x14ac:dyDescent="0.2">
      <c r="A19" s="3" t="s">
        <v>23</v>
      </c>
      <c r="B19" s="1">
        <v>22.98</v>
      </c>
      <c r="E19" s="2" t="s">
        <v>0</v>
      </c>
      <c r="F19" t="s">
        <v>74</v>
      </c>
    </row>
    <row r="20" spans="1:6" x14ac:dyDescent="0.2">
      <c r="A20" s="3" t="s">
        <v>25</v>
      </c>
      <c r="B20" s="1">
        <v>7.32</v>
      </c>
    </row>
    <row r="21" spans="1:6" x14ac:dyDescent="0.2">
      <c r="A21" s="3" t="s">
        <v>27</v>
      </c>
      <c r="B21" s="1">
        <v>13.69</v>
      </c>
    </row>
    <row r="22" spans="1:6" x14ac:dyDescent="0.2">
      <c r="A22" s="3" t="s">
        <v>29</v>
      </c>
      <c r="B22" s="1">
        <v>80.099999999999994</v>
      </c>
    </row>
    <row r="23" spans="1:6" x14ac:dyDescent="0.2">
      <c r="A23" s="3" t="s">
        <v>54</v>
      </c>
      <c r="B23" s="1">
        <v>474</v>
      </c>
    </row>
    <row r="24" spans="1:6" x14ac:dyDescent="0.2">
      <c r="A24" s="3" t="s">
        <v>55</v>
      </c>
      <c r="B24" s="1">
        <v>5745</v>
      </c>
    </row>
    <row r="25" spans="1:6" x14ac:dyDescent="0.2">
      <c r="A25" s="3" t="s">
        <v>56</v>
      </c>
      <c r="B25" s="1">
        <v>4.38</v>
      </c>
    </row>
    <row r="26" spans="1:6" x14ac:dyDescent="0.2">
      <c r="A26" s="3" t="s">
        <v>32</v>
      </c>
      <c r="B26" s="1">
        <v>1.129</v>
      </c>
    </row>
    <row r="27" spans="1:6" x14ac:dyDescent="0.2">
      <c r="A27" s="3" t="s">
        <v>33</v>
      </c>
      <c r="B27" s="1">
        <v>2263.9279799999999</v>
      </c>
    </row>
    <row r="28" spans="1:6" x14ac:dyDescent="0.2">
      <c r="A28" s="3" t="s">
        <v>34</v>
      </c>
      <c r="B28" s="1">
        <v>16.561440000000001</v>
      </c>
    </row>
    <row r="29" spans="1:6" x14ac:dyDescent="0.2">
      <c r="A29" s="3" t="s">
        <v>35</v>
      </c>
      <c r="B29" s="1">
        <v>7.45</v>
      </c>
    </row>
    <row r="30" spans="1:6" x14ac:dyDescent="0.2">
      <c r="A30" s="3" t="s">
        <v>36</v>
      </c>
      <c r="B30" s="1">
        <v>0.22</v>
      </c>
    </row>
    <row r="31" spans="1:6" x14ac:dyDescent="0.2">
      <c r="A31" s="3" t="s">
        <v>37</v>
      </c>
      <c r="B31" s="1">
        <v>0.25</v>
      </c>
    </row>
    <row r="32" spans="1:6" x14ac:dyDescent="0.2">
      <c r="A32" s="3" t="s">
        <v>62</v>
      </c>
      <c r="B32" s="1"/>
    </row>
    <row r="33" spans="1:2" x14ac:dyDescent="0.2">
      <c r="A33" s="3" t="s">
        <v>38</v>
      </c>
      <c r="B33" s="1">
        <v>0</v>
      </c>
    </row>
    <row r="34" spans="1:2" x14ac:dyDescent="0.2">
      <c r="A34" s="3" t="s">
        <v>39</v>
      </c>
      <c r="B34" s="1">
        <v>258.93</v>
      </c>
    </row>
    <row r="35" spans="1:2" x14ac:dyDescent="0.2">
      <c r="A35" s="3" t="s">
        <v>40</v>
      </c>
      <c r="B35" s="1">
        <v>176</v>
      </c>
    </row>
    <row r="36" spans="1:2" x14ac:dyDescent="0.2">
      <c r="A36" s="3" t="s">
        <v>58</v>
      </c>
      <c r="B36" s="1">
        <v>36.18</v>
      </c>
    </row>
    <row r="37" spans="1:2" x14ac:dyDescent="0.2">
      <c r="A37" s="3" t="s">
        <v>41</v>
      </c>
      <c r="B37" s="1">
        <v>33.1</v>
      </c>
    </row>
    <row r="38" spans="1:2" x14ac:dyDescent="0.2">
      <c r="A38" s="3" t="s">
        <v>42</v>
      </c>
      <c r="B38" s="1">
        <v>1324.06</v>
      </c>
    </row>
    <row r="39" spans="1:2" x14ac:dyDescent="0.2">
      <c r="A39" s="3" t="s">
        <v>43</v>
      </c>
      <c r="B39" s="1">
        <v>2534.91887</v>
      </c>
    </row>
    <row r="40" spans="1:2" x14ac:dyDescent="0.2">
      <c r="A40" s="3" t="s">
        <v>59</v>
      </c>
      <c r="B40" s="1">
        <v>150</v>
      </c>
    </row>
    <row r="41" spans="1:2" x14ac:dyDescent="0.2">
      <c r="A41" s="3" t="s">
        <v>44</v>
      </c>
      <c r="B41" s="1">
        <v>17.100000000000001</v>
      </c>
    </row>
    <row r="42" spans="1:2" x14ac:dyDescent="0.2">
      <c r="A42" s="3" t="s">
        <v>45</v>
      </c>
      <c r="B42" s="1">
        <v>664.02</v>
      </c>
    </row>
    <row r="43" spans="1:2" x14ac:dyDescent="0.2">
      <c r="A43" s="3" t="s">
        <v>46</v>
      </c>
      <c r="B43" s="1">
        <v>1.25</v>
      </c>
    </row>
    <row r="44" spans="1:2" x14ac:dyDescent="0.2">
      <c r="A44" s="3" t="s">
        <v>47</v>
      </c>
      <c r="B44" s="1">
        <v>3.54</v>
      </c>
    </row>
    <row r="45" spans="1:2" x14ac:dyDescent="0.2">
      <c r="A45" s="3" t="s">
        <v>64</v>
      </c>
      <c r="B45" s="1"/>
    </row>
    <row r="46" spans="1:2" x14ac:dyDescent="0.2">
      <c r="A46" s="3" t="s">
        <v>48</v>
      </c>
      <c r="B46" s="1">
        <v>2162.11</v>
      </c>
    </row>
    <row r="47" spans="1:2" x14ac:dyDescent="0.2">
      <c r="A47" s="3" t="s">
        <v>49</v>
      </c>
      <c r="B47" s="1">
        <v>1417.8</v>
      </c>
    </row>
    <row r="48" spans="1:2" x14ac:dyDescent="0.2">
      <c r="A48" s="3" t="s">
        <v>60</v>
      </c>
      <c r="B48" s="1">
        <v>131907</v>
      </c>
    </row>
    <row r="49" spans="1:7" x14ac:dyDescent="0.2">
      <c r="A49" s="3" t="s">
        <v>61</v>
      </c>
      <c r="B49" s="1">
        <v>203.273</v>
      </c>
    </row>
    <row r="50" spans="1:7" x14ac:dyDescent="0.2">
      <c r="A50" s="3" t="s">
        <v>63</v>
      </c>
      <c r="B50" s="1"/>
    </row>
    <row r="51" spans="1:7" x14ac:dyDescent="0.2">
      <c r="A51" s="3" t="s">
        <v>51</v>
      </c>
      <c r="B51" s="1">
        <v>71.34</v>
      </c>
    </row>
    <row r="52" spans="1:7" x14ac:dyDescent="0.2">
      <c r="A52" s="3" t="s">
        <v>69</v>
      </c>
      <c r="B52" s="1"/>
    </row>
    <row r="53" spans="1:7" x14ac:dyDescent="0.2">
      <c r="A53" s="3" t="s">
        <v>70</v>
      </c>
      <c r="B53" s="1">
        <v>223728.10507999998</v>
      </c>
    </row>
    <row r="60" spans="1:7" x14ac:dyDescent="0.2">
      <c r="F60" s="2" t="s">
        <v>73</v>
      </c>
      <c r="G60" t="s">
        <v>75</v>
      </c>
    </row>
    <row r="61" spans="1:7" x14ac:dyDescent="0.2">
      <c r="F61" s="3" t="s">
        <v>57</v>
      </c>
      <c r="G61" s="1">
        <v>2351.23</v>
      </c>
    </row>
    <row r="62" spans="1:7" x14ac:dyDescent="0.2">
      <c r="F62" s="3" t="s">
        <v>8</v>
      </c>
      <c r="G62" s="1">
        <v>13.13</v>
      </c>
    </row>
    <row r="63" spans="1:7" x14ac:dyDescent="0.2">
      <c r="F63" s="3" t="s">
        <v>10</v>
      </c>
      <c r="G63" s="1">
        <v>583</v>
      </c>
    </row>
    <row r="64" spans="1:7" x14ac:dyDescent="0.2">
      <c r="F64" s="3" t="s">
        <v>12</v>
      </c>
      <c r="G64" s="1">
        <v>437.78</v>
      </c>
    </row>
    <row r="65" spans="6:7" x14ac:dyDescent="0.2">
      <c r="F65" s="3" t="s">
        <v>13</v>
      </c>
      <c r="G65" s="1">
        <v>206</v>
      </c>
    </row>
    <row r="66" spans="6:7" x14ac:dyDescent="0.2">
      <c r="F66" s="3" t="s">
        <v>14</v>
      </c>
      <c r="G66" s="1">
        <v>18.38</v>
      </c>
    </row>
    <row r="67" spans="6:7" x14ac:dyDescent="0.2">
      <c r="F67" s="3" t="s">
        <v>15</v>
      </c>
      <c r="G67" s="1">
        <v>3.7</v>
      </c>
    </row>
    <row r="68" spans="6:7" x14ac:dyDescent="0.2">
      <c r="F68" s="3" t="s">
        <v>16</v>
      </c>
      <c r="G68" s="1">
        <v>7425.8612940000003</v>
      </c>
    </row>
    <row r="69" spans="6:7" x14ac:dyDescent="0.2">
      <c r="F69" s="3" t="s">
        <v>17</v>
      </c>
      <c r="G69" s="1">
        <v>17.73</v>
      </c>
    </row>
    <row r="70" spans="6:7" x14ac:dyDescent="0.2">
      <c r="F70" s="3" t="s">
        <v>52</v>
      </c>
      <c r="G70" s="1">
        <v>1893</v>
      </c>
    </row>
    <row r="71" spans="6:7" x14ac:dyDescent="0.2">
      <c r="F71" s="3" t="s">
        <v>53</v>
      </c>
      <c r="G71" s="1">
        <v>87.82</v>
      </c>
    </row>
    <row r="72" spans="6:7" x14ac:dyDescent="0.2">
      <c r="F72" s="3" t="s">
        <v>18</v>
      </c>
      <c r="G72" s="1">
        <v>837</v>
      </c>
    </row>
    <row r="73" spans="6:7" x14ac:dyDescent="0.2">
      <c r="F73" s="3" t="s">
        <v>20</v>
      </c>
      <c r="G73" s="1">
        <v>605.03</v>
      </c>
    </row>
    <row r="74" spans="6:7" x14ac:dyDescent="0.2">
      <c r="F74" s="3" t="s">
        <v>21</v>
      </c>
      <c r="G74" s="1">
        <v>63.43</v>
      </c>
    </row>
    <row r="75" spans="6:7" x14ac:dyDescent="0.2">
      <c r="F75" s="3" t="s">
        <v>22</v>
      </c>
      <c r="G75" s="1">
        <v>4.47</v>
      </c>
    </row>
    <row r="76" spans="6:7" x14ac:dyDescent="0.2">
      <c r="F76" s="3" t="s">
        <v>23</v>
      </c>
      <c r="G76" s="1">
        <v>13.71</v>
      </c>
    </row>
    <row r="77" spans="6:7" x14ac:dyDescent="0.2">
      <c r="F77" s="3" t="s">
        <v>25</v>
      </c>
      <c r="G77" s="1">
        <v>8.9120000000000008</v>
      </c>
    </row>
    <row r="78" spans="6:7" x14ac:dyDescent="0.2">
      <c r="F78" s="3" t="s">
        <v>27</v>
      </c>
      <c r="G78" s="1">
        <v>7.96</v>
      </c>
    </row>
    <row r="79" spans="6:7" x14ac:dyDescent="0.2">
      <c r="F79" s="3" t="s">
        <v>29</v>
      </c>
      <c r="G79" s="1">
        <v>61.91</v>
      </c>
    </row>
    <row r="80" spans="6:7" x14ac:dyDescent="0.2">
      <c r="F80" s="3" t="s">
        <v>54</v>
      </c>
      <c r="G80" s="1">
        <v>32.299999999999997</v>
      </c>
    </row>
    <row r="81" spans="6:7" x14ac:dyDescent="0.2">
      <c r="F81" s="3" t="s">
        <v>55</v>
      </c>
      <c r="G81" s="1">
        <v>978.4</v>
      </c>
    </row>
    <row r="82" spans="6:7" x14ac:dyDescent="0.2">
      <c r="F82" s="3" t="s">
        <v>56</v>
      </c>
      <c r="G82" s="1">
        <v>2.79</v>
      </c>
    </row>
    <row r="83" spans="6:7" x14ac:dyDescent="0.2">
      <c r="F83" s="3" t="s">
        <v>32</v>
      </c>
      <c r="G83" s="1">
        <v>0.34200000000000003</v>
      </c>
    </row>
    <row r="84" spans="6:7" x14ac:dyDescent="0.2">
      <c r="F84" s="3" t="s">
        <v>33</v>
      </c>
      <c r="G84" s="1">
        <v>168.59413000000001</v>
      </c>
    </row>
    <row r="85" spans="6:7" x14ac:dyDescent="0.2">
      <c r="F85" s="3" t="s">
        <v>34</v>
      </c>
      <c r="G85" s="1">
        <v>6.5158699999999996</v>
      </c>
    </row>
    <row r="86" spans="6:7" x14ac:dyDescent="0.2">
      <c r="F86" s="3" t="s">
        <v>35</v>
      </c>
      <c r="G86" s="1">
        <v>0</v>
      </c>
    </row>
    <row r="87" spans="6:7" x14ac:dyDescent="0.2">
      <c r="F87" s="3" t="s">
        <v>36</v>
      </c>
      <c r="G87" s="1">
        <v>51.2</v>
      </c>
    </row>
    <row r="88" spans="6:7" x14ac:dyDescent="0.2">
      <c r="F88" s="3" t="s">
        <v>37</v>
      </c>
      <c r="G88" s="1">
        <v>215.13</v>
      </c>
    </row>
    <row r="89" spans="6:7" x14ac:dyDescent="0.2">
      <c r="F89" s="3" t="s">
        <v>38</v>
      </c>
      <c r="G89" s="1">
        <v>389.59</v>
      </c>
    </row>
    <row r="90" spans="6:7" x14ac:dyDescent="0.2">
      <c r="F90" s="3" t="s">
        <v>39</v>
      </c>
      <c r="G90" s="1">
        <v>51.58</v>
      </c>
    </row>
    <row r="91" spans="6:7" x14ac:dyDescent="0.2">
      <c r="F91" s="3" t="s">
        <v>40</v>
      </c>
      <c r="G91" s="1">
        <v>34</v>
      </c>
    </row>
    <row r="92" spans="6:7" x14ac:dyDescent="0.2">
      <c r="F92" s="3" t="s">
        <v>58</v>
      </c>
      <c r="G92" s="1">
        <v>99.43</v>
      </c>
    </row>
    <row r="93" spans="6:7" x14ac:dyDescent="0.2">
      <c r="F93" s="3" t="s">
        <v>41</v>
      </c>
      <c r="G93" s="1">
        <v>244.5</v>
      </c>
    </row>
    <row r="94" spans="6:7" x14ac:dyDescent="0.2">
      <c r="F94" s="3" t="s">
        <v>42</v>
      </c>
      <c r="G94" s="1">
        <v>201.79</v>
      </c>
    </row>
    <row r="95" spans="6:7" x14ac:dyDescent="0.2">
      <c r="F95" s="3" t="s">
        <v>43</v>
      </c>
      <c r="G95" s="1">
        <v>2111.4825799999999</v>
      </c>
    </row>
    <row r="96" spans="6:7" x14ac:dyDescent="0.2">
      <c r="F96" s="3" t="s">
        <v>59</v>
      </c>
      <c r="G96" s="1">
        <v>9</v>
      </c>
    </row>
    <row r="97" spans="6:7" x14ac:dyDescent="0.2">
      <c r="F97" s="3" t="s">
        <v>44</v>
      </c>
      <c r="G97" s="1">
        <v>22.45</v>
      </c>
    </row>
    <row r="98" spans="6:7" x14ac:dyDescent="0.2">
      <c r="F98" s="3" t="s">
        <v>45</v>
      </c>
      <c r="G98" s="1">
        <v>271.33999999999997</v>
      </c>
    </row>
    <row r="99" spans="6:7" x14ac:dyDescent="0.2">
      <c r="F99" s="3" t="s">
        <v>46</v>
      </c>
      <c r="G99" s="1">
        <v>0.59</v>
      </c>
    </row>
    <row r="100" spans="6:7" x14ac:dyDescent="0.2">
      <c r="F100" s="3" t="s">
        <v>47</v>
      </c>
      <c r="G100" s="1">
        <v>7.2</v>
      </c>
    </row>
    <row r="101" spans="6:7" x14ac:dyDescent="0.2">
      <c r="F101" s="3" t="s">
        <v>48</v>
      </c>
      <c r="G101" s="1">
        <v>252.47</v>
      </c>
    </row>
    <row r="102" spans="6:7" x14ac:dyDescent="0.2">
      <c r="F102" s="3" t="s">
        <v>49</v>
      </c>
      <c r="G102" s="1">
        <v>232.21</v>
      </c>
    </row>
    <row r="103" spans="6:7" x14ac:dyDescent="0.2">
      <c r="F103" s="3" t="s">
        <v>60</v>
      </c>
      <c r="G103" s="1">
        <v>94409</v>
      </c>
    </row>
    <row r="104" spans="6:7" x14ac:dyDescent="0.2">
      <c r="F104" s="3" t="s">
        <v>61</v>
      </c>
      <c r="G104" s="1">
        <v>2.4710000000000001</v>
      </c>
    </row>
    <row r="105" spans="6:7" x14ac:dyDescent="0.2">
      <c r="F105" s="3" t="s">
        <v>51</v>
      </c>
      <c r="G105" s="1">
        <v>7.75</v>
      </c>
    </row>
    <row r="106" spans="6:7" x14ac:dyDescent="0.2">
      <c r="F106" s="3" t="s">
        <v>70</v>
      </c>
      <c r="G106" s="1">
        <v>114442.178874</v>
      </c>
    </row>
  </sheetData>
  <conditionalFormatting pivot="1" sqref="B4:B51">
    <cfRule type="top10" dxfId="3" priority="3" rank="10"/>
  </conditionalFormatting>
  <conditionalFormatting pivot="1" sqref="F4:F13">
    <cfRule type="top10" dxfId="1" priority="2" rank="3"/>
  </conditionalFormatting>
  <conditionalFormatting pivot="1" sqref="G61:G105">
    <cfRule type="top10" dxfId="0" priority="1" rank="10"/>
  </conditionalFormatting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3E873-F41C-7F47-8C1C-DF0B815A283B}">
  <dimension ref="A1:H58"/>
  <sheetViews>
    <sheetView tabSelected="1" topLeftCell="B1" zoomScale="59" workbookViewId="0">
      <selection activeCell="C67" sqref="C67"/>
    </sheetView>
  </sheetViews>
  <sheetFormatPr baseColWidth="10" defaultColWidth="72.1640625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t="s">
        <v>8</v>
      </c>
      <c r="B2" t="s">
        <v>9</v>
      </c>
      <c r="C2">
        <v>213.98</v>
      </c>
      <c r="D2">
        <v>30.8</v>
      </c>
      <c r="E2">
        <v>5.94</v>
      </c>
      <c r="F2">
        <v>13.13</v>
      </c>
      <c r="G2">
        <v>55.25</v>
      </c>
      <c r="H2">
        <v>319.10000000000002</v>
      </c>
    </row>
    <row r="3" spans="1:8" x14ac:dyDescent="0.2">
      <c r="A3" t="s">
        <v>10</v>
      </c>
      <c r="B3" t="s">
        <v>11</v>
      </c>
      <c r="C3">
        <v>9772</v>
      </c>
      <c r="D3">
        <v>3811</v>
      </c>
      <c r="E3">
        <v>2870</v>
      </c>
      <c r="F3">
        <v>583</v>
      </c>
      <c r="G3">
        <v>157</v>
      </c>
      <c r="H3">
        <v>17191</v>
      </c>
    </row>
    <row r="4" spans="1:8" x14ac:dyDescent="0.2">
      <c r="A4" t="s">
        <v>12</v>
      </c>
      <c r="B4" t="s">
        <v>9</v>
      </c>
      <c r="C4">
        <v>2386.9299999999998</v>
      </c>
      <c r="D4">
        <v>481.15</v>
      </c>
      <c r="E4">
        <v>133.41</v>
      </c>
      <c r="F4">
        <v>437.78</v>
      </c>
      <c r="G4">
        <v>518.54999999999995</v>
      </c>
      <c r="H4">
        <v>3957.82</v>
      </c>
    </row>
    <row r="5" spans="1:8" x14ac:dyDescent="0.2">
      <c r="A5" t="s">
        <v>13</v>
      </c>
      <c r="B5" t="s">
        <v>11</v>
      </c>
      <c r="C5">
        <v>4076.09</v>
      </c>
      <c r="D5">
        <v>2131.73</v>
      </c>
      <c r="E5">
        <v>1479.03</v>
      </c>
      <c r="F5">
        <v>206</v>
      </c>
      <c r="G5">
        <v>166.24</v>
      </c>
      <c r="H5">
        <v>8059.09</v>
      </c>
    </row>
    <row r="6" spans="1:8" x14ac:dyDescent="0.2">
      <c r="A6" t="s">
        <v>14</v>
      </c>
      <c r="B6" t="s">
        <v>11</v>
      </c>
      <c r="C6">
        <v>275.07</v>
      </c>
      <c r="D6">
        <v>83.97</v>
      </c>
      <c r="E6">
        <v>121.08</v>
      </c>
      <c r="F6">
        <v>18.38</v>
      </c>
      <c r="G6">
        <v>19.12</v>
      </c>
      <c r="H6">
        <v>517.62</v>
      </c>
    </row>
    <row r="7" spans="1:8" x14ac:dyDescent="0.2">
      <c r="A7" t="s">
        <v>15</v>
      </c>
      <c r="B7" t="s">
        <v>11</v>
      </c>
      <c r="C7">
        <v>15.2</v>
      </c>
      <c r="D7">
        <v>13.1</v>
      </c>
      <c r="E7">
        <v>1.5</v>
      </c>
      <c r="F7">
        <v>3.7</v>
      </c>
      <c r="G7">
        <v>6.8</v>
      </c>
      <c r="H7">
        <v>40.299999999999997</v>
      </c>
    </row>
    <row r="8" spans="1:8" x14ac:dyDescent="0.2">
      <c r="A8" t="s">
        <v>16</v>
      </c>
      <c r="B8" t="s">
        <v>11</v>
      </c>
      <c r="C8">
        <v>52701.286359999998</v>
      </c>
      <c r="D8">
        <v>39082.118390000003</v>
      </c>
      <c r="E8">
        <v>27116.79479</v>
      </c>
      <c r="F8">
        <v>7425.8612940000003</v>
      </c>
      <c r="G8">
        <v>5349.705962</v>
      </c>
      <c r="H8">
        <v>131675.76680000001</v>
      </c>
    </row>
    <row r="9" spans="1:8" x14ac:dyDescent="0.2">
      <c r="A9" t="s">
        <v>17</v>
      </c>
      <c r="B9" t="s">
        <v>11</v>
      </c>
      <c r="C9">
        <v>731.94</v>
      </c>
      <c r="D9">
        <v>494.02</v>
      </c>
      <c r="E9">
        <v>258.68</v>
      </c>
      <c r="F9">
        <v>17.73</v>
      </c>
      <c r="G9">
        <v>86.43</v>
      </c>
      <c r="H9">
        <v>1588.8</v>
      </c>
    </row>
    <row r="10" spans="1:8" x14ac:dyDescent="0.2">
      <c r="A10" t="s">
        <v>52</v>
      </c>
      <c r="B10" t="s">
        <v>9</v>
      </c>
      <c r="C10">
        <v>69265</v>
      </c>
      <c r="D10">
        <v>41870</v>
      </c>
      <c r="E10">
        <v>26515</v>
      </c>
      <c r="F10">
        <v>1893</v>
      </c>
      <c r="G10">
        <v>7795</v>
      </c>
      <c r="H10">
        <v>147338</v>
      </c>
    </row>
    <row r="11" spans="1:8" x14ac:dyDescent="0.2">
      <c r="A11" t="s">
        <v>53</v>
      </c>
      <c r="B11" t="s">
        <v>11</v>
      </c>
      <c r="C11">
        <v>1230</v>
      </c>
      <c r="D11">
        <v>443.95</v>
      </c>
      <c r="E11">
        <v>191.52</v>
      </c>
      <c r="F11">
        <v>87.82</v>
      </c>
      <c r="G11">
        <v>621.72</v>
      </c>
      <c r="H11">
        <v>2627.36</v>
      </c>
    </row>
    <row r="12" spans="1:8" x14ac:dyDescent="0.2">
      <c r="A12" t="s">
        <v>18</v>
      </c>
      <c r="B12" t="s">
        <v>19</v>
      </c>
      <c r="C12">
        <v>5669</v>
      </c>
      <c r="D12">
        <v>1327</v>
      </c>
      <c r="E12">
        <v>1668</v>
      </c>
      <c r="F12">
        <v>837</v>
      </c>
      <c r="G12">
        <v>56</v>
      </c>
      <c r="H12">
        <v>9557</v>
      </c>
    </row>
    <row r="13" spans="1:8" x14ac:dyDescent="0.2">
      <c r="A13" t="s">
        <v>20</v>
      </c>
      <c r="B13" t="s">
        <v>19</v>
      </c>
      <c r="C13">
        <v>10910.6</v>
      </c>
      <c r="D13">
        <v>3858.5</v>
      </c>
      <c r="E13">
        <v>2062.9</v>
      </c>
      <c r="F13">
        <v>605.03</v>
      </c>
      <c r="G13">
        <v>139.33000000000001</v>
      </c>
      <c r="H13">
        <v>17576.37</v>
      </c>
    </row>
    <row r="14" spans="1:8" x14ac:dyDescent="0.2">
      <c r="A14" t="s">
        <v>21</v>
      </c>
      <c r="B14" t="s">
        <v>11</v>
      </c>
      <c r="C14">
        <v>313.38</v>
      </c>
      <c r="D14">
        <v>103.21</v>
      </c>
      <c r="E14">
        <v>92.89</v>
      </c>
      <c r="F14">
        <v>63.43</v>
      </c>
      <c r="G14">
        <v>101.46</v>
      </c>
      <c r="H14">
        <v>674.37</v>
      </c>
    </row>
    <row r="15" spans="1:8" x14ac:dyDescent="0.2">
      <c r="A15" t="s">
        <v>22</v>
      </c>
      <c r="B15" t="s">
        <v>11</v>
      </c>
      <c r="C15">
        <v>117.89</v>
      </c>
      <c r="D15">
        <v>273.41000000000003</v>
      </c>
      <c r="E15">
        <v>10.56</v>
      </c>
      <c r="F15">
        <v>4.47</v>
      </c>
      <c r="G15">
        <v>0.15</v>
      </c>
      <c r="H15">
        <v>406.48</v>
      </c>
    </row>
    <row r="16" spans="1:8" x14ac:dyDescent="0.2">
      <c r="A16" t="s">
        <v>23</v>
      </c>
      <c r="B16" t="s">
        <v>24</v>
      </c>
      <c r="C16">
        <v>299.77</v>
      </c>
      <c r="D16">
        <v>233.24</v>
      </c>
      <c r="E16">
        <v>22.98</v>
      </c>
      <c r="F16">
        <v>13.71</v>
      </c>
      <c r="G16">
        <v>5.1999999999999998E-2</v>
      </c>
      <c r="H16">
        <v>569.75199999999995</v>
      </c>
    </row>
    <row r="17" spans="1:8" x14ac:dyDescent="0.2">
      <c r="A17" t="s">
        <v>25</v>
      </c>
      <c r="B17" t="s">
        <v>26</v>
      </c>
      <c r="C17">
        <v>286.39</v>
      </c>
      <c r="D17">
        <v>473.53</v>
      </c>
      <c r="E17">
        <v>7.32</v>
      </c>
      <c r="F17">
        <v>8.9120000000000008</v>
      </c>
      <c r="G17">
        <v>2.6469999999999998</v>
      </c>
      <c r="H17">
        <v>778.79899999999998</v>
      </c>
    </row>
    <row r="18" spans="1:8" x14ac:dyDescent="0.2">
      <c r="A18" t="s">
        <v>27</v>
      </c>
      <c r="B18" t="s">
        <v>28</v>
      </c>
      <c r="C18">
        <v>356.94</v>
      </c>
      <c r="D18">
        <v>720.83</v>
      </c>
      <c r="E18">
        <v>13.69</v>
      </c>
      <c r="F18">
        <v>7.96</v>
      </c>
      <c r="G18">
        <v>19.05</v>
      </c>
      <c r="H18">
        <v>1118.47</v>
      </c>
    </row>
    <row r="19" spans="1:8" x14ac:dyDescent="0.2">
      <c r="A19" t="s">
        <v>29</v>
      </c>
      <c r="B19" t="s">
        <v>9</v>
      </c>
      <c r="C19">
        <v>184.58</v>
      </c>
      <c r="D19">
        <v>31.05</v>
      </c>
      <c r="E19">
        <v>80.099999999999994</v>
      </c>
      <c r="F19">
        <v>61.91</v>
      </c>
      <c r="G19">
        <v>8.1</v>
      </c>
      <c r="H19">
        <v>365.74</v>
      </c>
    </row>
    <row r="20" spans="1:8" x14ac:dyDescent="0.2">
      <c r="A20" t="s">
        <v>54</v>
      </c>
      <c r="B20" t="s">
        <v>30</v>
      </c>
      <c r="C20">
        <v>2114.8000000000002</v>
      </c>
      <c r="D20">
        <v>512.6</v>
      </c>
      <c r="E20">
        <v>474</v>
      </c>
      <c r="F20">
        <v>32.299999999999997</v>
      </c>
      <c r="G20">
        <v>18.600000000000001</v>
      </c>
      <c r="H20">
        <v>3152.31</v>
      </c>
    </row>
    <row r="21" spans="1:8" x14ac:dyDescent="0.2">
      <c r="A21" t="s">
        <v>55</v>
      </c>
      <c r="B21" t="s">
        <v>31</v>
      </c>
      <c r="C21">
        <v>125010.1</v>
      </c>
      <c r="D21">
        <v>2702.3</v>
      </c>
      <c r="E21">
        <v>5745</v>
      </c>
      <c r="F21">
        <v>978.4</v>
      </c>
      <c r="G21">
        <v>2627.7</v>
      </c>
      <c r="H21">
        <v>24563.5</v>
      </c>
    </row>
    <row r="22" spans="1:8" x14ac:dyDescent="0.2">
      <c r="A22" t="s">
        <v>56</v>
      </c>
      <c r="B22" t="s">
        <v>9</v>
      </c>
      <c r="C22">
        <v>100.57</v>
      </c>
      <c r="D22">
        <v>32.53</v>
      </c>
      <c r="E22">
        <v>4.38</v>
      </c>
      <c r="F22">
        <v>2.79</v>
      </c>
      <c r="G22">
        <v>1.4</v>
      </c>
      <c r="H22">
        <v>141.66999999999999</v>
      </c>
    </row>
    <row r="23" spans="1:8" x14ac:dyDescent="0.2">
      <c r="A23" t="s">
        <v>32</v>
      </c>
      <c r="B23" t="s">
        <v>11</v>
      </c>
      <c r="C23">
        <v>36.741999999999997</v>
      </c>
      <c r="D23">
        <v>5.8639999999999999</v>
      </c>
      <c r="E23">
        <v>1.129</v>
      </c>
      <c r="F23">
        <v>0.34200000000000003</v>
      </c>
      <c r="G23">
        <v>9.7989999999999995</v>
      </c>
      <c r="H23">
        <v>53.875999999999998</v>
      </c>
    </row>
    <row r="24" spans="1:8" x14ac:dyDescent="0.2">
      <c r="A24" t="s">
        <v>33</v>
      </c>
      <c r="B24" t="s">
        <v>11</v>
      </c>
      <c r="C24">
        <v>4329.5345500000003</v>
      </c>
      <c r="D24">
        <v>1915.63248</v>
      </c>
      <c r="E24">
        <v>2263.9279799999999</v>
      </c>
      <c r="F24">
        <v>168.59413000000001</v>
      </c>
      <c r="G24">
        <v>369.22818000000001</v>
      </c>
      <c r="H24">
        <v>9046.9173200000005</v>
      </c>
    </row>
    <row r="25" spans="1:8" x14ac:dyDescent="0.2">
      <c r="A25" t="s">
        <v>34</v>
      </c>
      <c r="B25" t="s">
        <v>9</v>
      </c>
      <c r="C25">
        <v>44.260840000000002</v>
      </c>
      <c r="D25">
        <v>76.426919999999996</v>
      </c>
      <c r="E25">
        <v>16.561440000000001</v>
      </c>
      <c r="F25">
        <v>6.5158699999999996</v>
      </c>
      <c r="G25">
        <v>3.5395300000000001</v>
      </c>
      <c r="H25">
        <v>146.565414</v>
      </c>
    </row>
    <row r="26" spans="1:8" x14ac:dyDescent="0.2">
      <c r="A26" t="s">
        <v>35</v>
      </c>
      <c r="B26" t="s">
        <v>30</v>
      </c>
      <c r="C26">
        <v>84.93</v>
      </c>
      <c r="D26">
        <v>14.47</v>
      </c>
      <c r="E26">
        <v>7.45</v>
      </c>
      <c r="F26">
        <v>0</v>
      </c>
      <c r="G26">
        <v>0</v>
      </c>
      <c r="H26">
        <v>106.88</v>
      </c>
    </row>
    <row r="27" spans="1:8" x14ac:dyDescent="0.2">
      <c r="A27" t="s">
        <v>57</v>
      </c>
      <c r="B27" t="s">
        <v>11</v>
      </c>
      <c r="C27">
        <v>11261.37</v>
      </c>
      <c r="D27">
        <v>3673.95</v>
      </c>
      <c r="E27">
        <v>5582.41</v>
      </c>
      <c r="F27">
        <v>1189.3399999999999</v>
      </c>
      <c r="G27">
        <v>935.96</v>
      </c>
      <c r="H27">
        <v>22643.03</v>
      </c>
    </row>
    <row r="28" spans="1:8" x14ac:dyDescent="0.2">
      <c r="A28" t="s">
        <v>57</v>
      </c>
      <c r="B28" t="s">
        <v>9</v>
      </c>
      <c r="C28">
        <v>11894.76</v>
      </c>
      <c r="D28">
        <v>4138.3100000000004</v>
      </c>
      <c r="E28">
        <v>6020.76</v>
      </c>
      <c r="F28">
        <v>1161.8900000000001</v>
      </c>
      <c r="G28">
        <v>1183.6500000000001</v>
      </c>
      <c r="H28">
        <v>24399.37</v>
      </c>
    </row>
    <row r="29" spans="1:8" x14ac:dyDescent="0.2">
      <c r="A29" t="s">
        <v>36</v>
      </c>
      <c r="B29" t="s">
        <v>9</v>
      </c>
      <c r="C29">
        <v>1779.54</v>
      </c>
      <c r="D29">
        <v>8021.45</v>
      </c>
      <c r="E29">
        <v>0.22</v>
      </c>
      <c r="F29">
        <v>51.2</v>
      </c>
      <c r="G29">
        <v>335.26</v>
      </c>
      <c r="H29">
        <v>10187.67</v>
      </c>
    </row>
    <row r="30" spans="1:8" x14ac:dyDescent="0.2">
      <c r="A30" t="s">
        <v>37</v>
      </c>
      <c r="B30" t="s">
        <v>11</v>
      </c>
      <c r="C30">
        <v>709.66</v>
      </c>
      <c r="D30">
        <v>2535.92</v>
      </c>
      <c r="E30">
        <v>0.25</v>
      </c>
      <c r="F30">
        <v>215.13</v>
      </c>
      <c r="G30">
        <v>4.63</v>
      </c>
      <c r="H30">
        <v>3465.6</v>
      </c>
    </row>
    <row r="31" spans="1:8" x14ac:dyDescent="0.2">
      <c r="A31" t="s">
        <v>38</v>
      </c>
      <c r="B31" t="s">
        <v>30</v>
      </c>
      <c r="C31">
        <v>0</v>
      </c>
      <c r="D31">
        <v>0</v>
      </c>
      <c r="E31">
        <v>0</v>
      </c>
      <c r="F31">
        <v>389.59</v>
      </c>
      <c r="G31">
        <v>0</v>
      </c>
      <c r="H31">
        <v>389.59</v>
      </c>
    </row>
    <row r="32" spans="1:8" x14ac:dyDescent="0.2">
      <c r="A32" t="s">
        <v>39</v>
      </c>
      <c r="B32" t="s">
        <v>9</v>
      </c>
      <c r="C32">
        <v>435.92</v>
      </c>
      <c r="D32">
        <v>1169.2</v>
      </c>
      <c r="E32">
        <v>258.93</v>
      </c>
      <c r="F32">
        <v>51.58</v>
      </c>
      <c r="G32">
        <v>31.23</v>
      </c>
      <c r="H32">
        <v>1946.86</v>
      </c>
    </row>
    <row r="33" spans="1:8" x14ac:dyDescent="0.2">
      <c r="A33" t="s">
        <v>40</v>
      </c>
      <c r="B33" t="s">
        <v>9</v>
      </c>
      <c r="C33">
        <v>1225</v>
      </c>
      <c r="D33">
        <v>332</v>
      </c>
      <c r="E33">
        <v>176</v>
      </c>
      <c r="F33">
        <v>34</v>
      </c>
      <c r="G33">
        <v>23</v>
      </c>
      <c r="H33">
        <v>1791</v>
      </c>
    </row>
    <row r="34" spans="1:8" x14ac:dyDescent="0.2">
      <c r="A34" t="s">
        <v>58</v>
      </c>
      <c r="B34" t="s">
        <v>11</v>
      </c>
      <c r="C34">
        <v>1066.3499999999999</v>
      </c>
      <c r="D34">
        <v>331.94</v>
      </c>
      <c r="E34">
        <v>36.18</v>
      </c>
      <c r="F34">
        <v>99.43</v>
      </c>
      <c r="G34">
        <v>0.9</v>
      </c>
      <c r="H34">
        <v>1534.8</v>
      </c>
    </row>
    <row r="35" spans="1:8" x14ac:dyDescent="0.2">
      <c r="A35" t="s">
        <v>41</v>
      </c>
      <c r="B35" t="s">
        <v>11</v>
      </c>
      <c r="C35">
        <v>1900.6</v>
      </c>
      <c r="D35">
        <v>539.5</v>
      </c>
      <c r="E35">
        <v>33.1</v>
      </c>
      <c r="F35">
        <v>244.5</v>
      </c>
      <c r="G35">
        <v>600.79999999999995</v>
      </c>
      <c r="H35">
        <v>3318.5</v>
      </c>
    </row>
    <row r="36" spans="1:8" x14ac:dyDescent="0.2">
      <c r="A36" t="s">
        <v>42</v>
      </c>
      <c r="B36" t="s">
        <v>9</v>
      </c>
      <c r="C36">
        <v>767.6</v>
      </c>
      <c r="D36">
        <v>366.49</v>
      </c>
      <c r="E36">
        <v>1324.06</v>
      </c>
      <c r="F36">
        <v>201.79</v>
      </c>
      <c r="G36">
        <v>1687.16</v>
      </c>
      <c r="H36">
        <v>4347.1000000000004</v>
      </c>
    </row>
    <row r="37" spans="1:8" x14ac:dyDescent="0.2">
      <c r="A37" t="s">
        <v>43</v>
      </c>
      <c r="C37">
        <v>2056.0686999999998</v>
      </c>
      <c r="D37">
        <v>2122.2832600000002</v>
      </c>
      <c r="E37">
        <v>2534.91887</v>
      </c>
      <c r="F37">
        <v>2111.4825799999999</v>
      </c>
      <c r="G37">
        <v>2179.1049200000002</v>
      </c>
      <c r="H37">
        <v>2825.5513700000001</v>
      </c>
    </row>
    <row r="38" spans="1:8" x14ac:dyDescent="0.2">
      <c r="A38" t="s">
        <v>59</v>
      </c>
      <c r="B38" t="s">
        <v>30</v>
      </c>
      <c r="C38">
        <v>650</v>
      </c>
      <c r="D38">
        <v>200</v>
      </c>
      <c r="E38">
        <v>150</v>
      </c>
      <c r="F38">
        <v>9</v>
      </c>
      <c r="G38">
        <v>2.5</v>
      </c>
      <c r="H38">
        <v>1110</v>
      </c>
    </row>
    <row r="39" spans="1:8" x14ac:dyDescent="0.2">
      <c r="A39" t="s">
        <v>44</v>
      </c>
      <c r="B39" t="s">
        <v>9</v>
      </c>
      <c r="C39">
        <v>280</v>
      </c>
      <c r="D39">
        <v>211.36</v>
      </c>
      <c r="E39">
        <v>17.100000000000001</v>
      </c>
      <c r="F39">
        <v>22.45</v>
      </c>
      <c r="G39">
        <v>11.62</v>
      </c>
      <c r="H39">
        <v>542.54</v>
      </c>
    </row>
    <row r="40" spans="1:8" x14ac:dyDescent="0.2">
      <c r="A40" t="s">
        <v>45</v>
      </c>
      <c r="B40" t="s">
        <v>9</v>
      </c>
      <c r="C40">
        <v>688.22400000000005</v>
      </c>
      <c r="D40">
        <v>1728.72</v>
      </c>
      <c r="E40">
        <v>664.02</v>
      </c>
      <c r="F40">
        <v>271.33999999999997</v>
      </c>
      <c r="G40">
        <v>204.82400000000001</v>
      </c>
      <c r="H40">
        <v>3199.0439999999999</v>
      </c>
    </row>
    <row r="41" spans="1:8" x14ac:dyDescent="0.2">
      <c r="A41" t="s">
        <v>46</v>
      </c>
      <c r="B41" t="s">
        <v>11</v>
      </c>
      <c r="C41">
        <v>13.4</v>
      </c>
      <c r="D41">
        <v>7.03</v>
      </c>
      <c r="E41">
        <v>1.25</v>
      </c>
      <c r="F41">
        <v>0.59</v>
      </c>
      <c r="G41">
        <v>0.97</v>
      </c>
      <c r="H41">
        <v>23.37</v>
      </c>
    </row>
    <row r="42" spans="1:8" x14ac:dyDescent="0.2">
      <c r="A42" t="s">
        <v>47</v>
      </c>
      <c r="B42" t="s">
        <v>9</v>
      </c>
      <c r="C42">
        <v>93.49</v>
      </c>
      <c r="D42">
        <v>26.1</v>
      </c>
      <c r="E42">
        <v>3.54</v>
      </c>
      <c r="F42">
        <v>7.2</v>
      </c>
      <c r="G42">
        <v>1.3</v>
      </c>
      <c r="H42">
        <v>131.63</v>
      </c>
    </row>
    <row r="43" spans="1:8" x14ac:dyDescent="0.2">
      <c r="A43" t="s">
        <v>48</v>
      </c>
      <c r="B43" t="s">
        <v>11</v>
      </c>
      <c r="C43">
        <v>2299.19</v>
      </c>
      <c r="D43">
        <v>1700.93</v>
      </c>
      <c r="E43">
        <v>2162.11</v>
      </c>
      <c r="F43">
        <v>252.47</v>
      </c>
      <c r="G43">
        <v>229.52</v>
      </c>
      <c r="H43">
        <v>6744.04</v>
      </c>
    </row>
    <row r="44" spans="1:8" x14ac:dyDescent="0.2">
      <c r="A44" t="s">
        <v>49</v>
      </c>
      <c r="B44" t="s">
        <v>11</v>
      </c>
      <c r="C44">
        <v>11776.8</v>
      </c>
      <c r="D44">
        <v>2079.4</v>
      </c>
      <c r="E44">
        <v>1417.8</v>
      </c>
      <c r="F44">
        <v>232.21</v>
      </c>
      <c r="G44">
        <v>0</v>
      </c>
      <c r="H44">
        <v>15506.21</v>
      </c>
    </row>
    <row r="45" spans="1:8" x14ac:dyDescent="0.2">
      <c r="A45" t="s">
        <v>60</v>
      </c>
      <c r="B45" t="s">
        <v>50</v>
      </c>
      <c r="C45">
        <v>344276</v>
      </c>
      <c r="D45">
        <v>117285</v>
      </c>
      <c r="E45">
        <v>88547</v>
      </c>
      <c r="F45">
        <v>26340</v>
      </c>
      <c r="G45">
        <v>6965</v>
      </c>
      <c r="H45">
        <v>574293</v>
      </c>
    </row>
    <row r="46" spans="1:8" x14ac:dyDescent="0.2">
      <c r="A46" t="s">
        <v>60</v>
      </c>
      <c r="B46" t="s">
        <v>11</v>
      </c>
      <c r="C46">
        <v>227753</v>
      </c>
      <c r="D46">
        <v>85207</v>
      </c>
      <c r="E46">
        <v>43360</v>
      </c>
      <c r="F46">
        <v>68069</v>
      </c>
      <c r="G46">
        <v>9357</v>
      </c>
      <c r="H46">
        <v>373746</v>
      </c>
    </row>
    <row r="47" spans="1:8" x14ac:dyDescent="0.2">
      <c r="A47" t="s">
        <v>61</v>
      </c>
      <c r="B47" t="s">
        <v>30</v>
      </c>
      <c r="C47">
        <v>108.46</v>
      </c>
      <c r="D47">
        <v>67.224000000000004</v>
      </c>
      <c r="E47">
        <v>203.273</v>
      </c>
      <c r="F47">
        <v>2.4710000000000001</v>
      </c>
      <c r="G47">
        <v>42.378999999999998</v>
      </c>
      <c r="H47">
        <v>423.80599999999998</v>
      </c>
    </row>
    <row r="48" spans="1:8" x14ac:dyDescent="0.2">
      <c r="A48" t="s">
        <v>51</v>
      </c>
      <c r="B48" t="s">
        <v>9</v>
      </c>
      <c r="C48">
        <v>226.55</v>
      </c>
      <c r="D48">
        <v>87.04</v>
      </c>
      <c r="E48">
        <v>71.34</v>
      </c>
      <c r="F48">
        <v>7.75</v>
      </c>
      <c r="G48">
        <v>5.52</v>
      </c>
      <c r="H48">
        <v>398.2</v>
      </c>
    </row>
    <row r="54" spans="1:3" x14ac:dyDescent="0.2">
      <c r="A54" t="s">
        <v>62</v>
      </c>
      <c r="C54">
        <f>COUNTIF(A1:G48,"NA")</f>
        <v>0</v>
      </c>
    </row>
    <row r="56" spans="1:3" x14ac:dyDescent="0.2">
      <c r="A56" t="s">
        <v>63</v>
      </c>
      <c r="C56">
        <f>VLOOKUP(A13,A2:H48,4,TRUE)</f>
        <v>3858.5</v>
      </c>
    </row>
    <row r="58" spans="1:3" x14ac:dyDescent="0.2">
      <c r="A58" t="s">
        <v>64</v>
      </c>
      <c r="C58">
        <f>SUM(H2:H48)</f>
        <v>1434540.4679039998</v>
      </c>
    </row>
  </sheetData>
  <conditionalFormatting sqref="F14">
    <cfRule type="cellIs" dxfId="5" priority="2" operator="equal">
      <formula>"NA"</formula>
    </cfRule>
  </conditionalFormatting>
  <conditionalFormatting sqref="A1:XFD1048576">
    <cfRule type="cellIs" dxfId="4" priority="1" stopIfTrue="1" operator="equal">
      <formula>"NA"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electricity-consumption-india-c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Stephen I Drani</cp:lastModifiedBy>
  <dcterms:created xsi:type="dcterms:W3CDTF">2025-02-25T02:27:37Z</dcterms:created>
  <dcterms:modified xsi:type="dcterms:W3CDTF">2025-02-25T02:29:11Z</dcterms:modified>
</cp:coreProperties>
</file>